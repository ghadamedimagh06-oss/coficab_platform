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2.90.8\Share_Logistics\Programme de livraison\2026\"/>
    </mc:Choice>
  </mc:AlternateContent>
  <xr:revisionPtr revIDLastSave="0" documentId="13_ncr:1_{2AF490B4-8BC0-4819-A28D-C5B1718EEB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ning" sheetId="1" r:id="rId1"/>
    <sheet name="Feuil1" sheetId="8" r:id="rId2"/>
    <sheet name="Feuil2" sheetId="6" r:id="rId3"/>
    <sheet name="Customers" sheetId="2" r:id="rId4"/>
    <sheet name="Statut" sheetId="3" state="hidden" r:id="rId5"/>
    <sheet name="Destination" sheetId="4" r:id="rId6"/>
    <sheet name="Feuil3" sheetId="7" r:id="rId7"/>
  </sheets>
  <definedNames>
    <definedName name="_xlnm._FilterDatabase" localSheetId="0" hidden="1">Planning!$A$1:$J$104</definedName>
  </definedNames>
  <calcPr calcId="191029"/>
  <pivotCaches>
    <pivotCache cacheId="3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<sst xmlns="http://schemas.openxmlformats.org/spreadsheetml/2006/main" count="292" uniqueCount="151">
  <si>
    <t>COFAT TUNIS</t>
  </si>
  <si>
    <t>COFAT MATEUR</t>
  </si>
  <si>
    <t>LEONI SOUSSE</t>
  </si>
  <si>
    <t>COELEC TUNISIA</t>
  </si>
  <si>
    <t>I.C.eM</t>
  </si>
  <si>
    <t>METS MANUFAC ELECTRO.DE SOUSSE</t>
  </si>
  <si>
    <t>LEONI WIRING SYSTEMS Egypt SAE</t>
  </si>
  <si>
    <t>YURA CORPORATION TUNISIA</t>
  </si>
  <si>
    <t>Motherson Sumi Systems Limited</t>
  </si>
  <si>
    <t>TTE International</t>
  </si>
  <si>
    <t>ELECTROCONTACT TUNISIE</t>
  </si>
  <si>
    <t>SOFILEC</t>
  </si>
  <si>
    <t>COFICAB INTERNATIONAL</t>
  </si>
  <si>
    <t>MEDITERRANEAN ELECTRIC WIRING</t>
  </si>
  <si>
    <t>BSA CORPORATION LTD</t>
  </si>
  <si>
    <t>AMPHENOL TUNISIE</t>
  </si>
  <si>
    <t>SCHULTE AUTOMOTIVE TUNISIA srl</t>
  </si>
  <si>
    <t>COFICAB MX S.DE R.L</t>
  </si>
  <si>
    <t>KAB-LEM</t>
  </si>
  <si>
    <t>AEC  WIRING TECHNOLOGY SARL</t>
  </si>
  <si>
    <t>COFICAB MAROC</t>
  </si>
  <si>
    <t>STE PEC PWS</t>
  </si>
  <si>
    <t>ASPÖCK Systems GMBH</t>
  </si>
  <si>
    <t>KILOWATT INTERNATIONAL</t>
  </si>
  <si>
    <t>RELAIS ET AUTOMATISMES INDUST</t>
  </si>
  <si>
    <t>Apparatebau Kirchheim-Teck Gmb</t>
  </si>
  <si>
    <t>COFAT EGYPT</t>
  </si>
  <si>
    <t>Canceled</t>
  </si>
  <si>
    <t>Mehrzia JENDOUBI</t>
  </si>
  <si>
    <t>Delivery Day</t>
  </si>
  <si>
    <t>Saturday</t>
  </si>
  <si>
    <t>Not Confirmed</t>
  </si>
  <si>
    <t>Confirmed</t>
  </si>
  <si>
    <t>Export</t>
  </si>
  <si>
    <t>Local</t>
  </si>
  <si>
    <t>ANT PRECISION TUNISIA SUARL</t>
  </si>
  <si>
    <t>APTIV JELESNIA</t>
  </si>
  <si>
    <t>Aptiv Services Tunisia SARL</t>
  </si>
  <si>
    <t>CABLISYS TUNISIE</t>
  </si>
  <si>
    <t>CHAKIRA CABLE</t>
  </si>
  <si>
    <t>COFAT AUTOMATIVE SYSTEMS</t>
  </si>
  <si>
    <t>COFICAB EASTERN EUROPE  SRL</t>
  </si>
  <si>
    <t>Coficab Honduras S. de R.L</t>
  </si>
  <si>
    <t>COFICAB MEXICO</t>
  </si>
  <si>
    <t>COFICAB PLOIESTI S.R.L</t>
  </si>
  <si>
    <t>Coficab Portugal</t>
  </si>
  <si>
    <t>Coficab wire (Tianjin) Co.,Ltd</t>
  </si>
  <si>
    <t>DIS Draxlmaier Indust Solution Gmbh</t>
  </si>
  <si>
    <t>EL.COM TUNISIA S.R.L</t>
  </si>
  <si>
    <t>Elektrometall  spol.s.r.o</t>
  </si>
  <si>
    <t>ERA CONTACTS TUNISIA</t>
  </si>
  <si>
    <t>FERCON</t>
  </si>
  <si>
    <t>Gebauer &amp; Griller Kabelwerke</t>
  </si>
  <si>
    <t>GENERAL CAB MEDLECTRIC</t>
  </si>
  <si>
    <t>HIRSCHMANN KENITRA SARL</t>
  </si>
  <si>
    <t>HIRSHMANN Automotive Gmbh</t>
  </si>
  <si>
    <t>I D A C O</t>
  </si>
  <si>
    <t>KAB-LEM Tunisia SARL</t>
  </si>
  <si>
    <t>KOSTAL Kontakt Systeme GmbH</t>
  </si>
  <si>
    <t>Kromberg &amp; Schubert  Tunisie SARL</t>
  </si>
  <si>
    <t>Kromberg &amp; Schubert Cable&amp;Wire</t>
  </si>
  <si>
    <t>LECTRIC</t>
  </si>
  <si>
    <t>LEONI Automotive do Brasil Ltd</t>
  </si>
  <si>
    <t>LEONI EGYPT BADR CITY</t>
  </si>
  <si>
    <t>LEONI Electrical Systems(Shang</t>
  </si>
  <si>
    <t>LEONI MENZEL HAYET</t>
  </si>
  <si>
    <t>LEONI Wiring Systems France S.A.S</t>
  </si>
  <si>
    <t>LEONI Wiring Systems Tunisia NORD</t>
  </si>
  <si>
    <t>LEONI Wiring Systems Tunisia SUD</t>
  </si>
  <si>
    <t>Nexans autoelectric GMBH</t>
  </si>
  <si>
    <t>NORMA Grupa Jugoistocna Evropa</t>
  </si>
  <si>
    <t>NURSAN KABLO DONANIMLARI SAN V</t>
  </si>
  <si>
    <t>RICOT SARL</t>
  </si>
  <si>
    <t>S.C. YAZAKI ROMANIA S.R.L</t>
  </si>
  <si>
    <t>SEBN (SUMITOMO)</t>
  </si>
  <si>
    <t>SEWS TN SARL</t>
  </si>
  <si>
    <t>SIDELEC</t>
  </si>
  <si>
    <t>STE S.C.E.E.T</t>
  </si>
  <si>
    <t>TIS CIRCUITS</t>
  </si>
  <si>
    <t>TTE International / Fujikura</t>
  </si>
  <si>
    <t>WeWire Hammamet Tunisia SARL</t>
  </si>
  <si>
    <t>WeWire Poland sp.z.o.o.sp.k</t>
  </si>
  <si>
    <t>Yazaki Automotive Products Tunisia</t>
  </si>
  <si>
    <t>YAZAKI GEMLIK BURSA TURKEY</t>
  </si>
  <si>
    <t>YAZAKI MUDANYA BURSA TURKEY</t>
  </si>
  <si>
    <t>YAZAKI TUNISIA s.a.r.l</t>
  </si>
  <si>
    <t>SE BORDNETZE EL FEJJA S.A.R.L</t>
  </si>
  <si>
    <t>N°</t>
  </si>
  <si>
    <t>Saba BEN HASSINE</t>
  </si>
  <si>
    <t>Mohamed AZIZ GHARBI</t>
  </si>
  <si>
    <t>Wafa OUICHTETI</t>
  </si>
  <si>
    <t>SE Wiring Systems 6 OCT</t>
  </si>
  <si>
    <t>SE Wiring Systems Egypt Port Said</t>
  </si>
  <si>
    <t>SCHULTE  Zaghouane</t>
  </si>
  <si>
    <t>COFICAB MED</t>
  </si>
  <si>
    <t>PROD-ELEC</t>
  </si>
  <si>
    <t>Reflexallen</t>
  </si>
  <si>
    <t>Loading 25%</t>
  </si>
  <si>
    <t>Plasteknique</t>
  </si>
  <si>
    <t>A C T Assemblage Cable Tunisie</t>
  </si>
  <si>
    <t xml:space="preserve">Monday </t>
  </si>
  <si>
    <t>Tuesday</t>
  </si>
  <si>
    <t xml:space="preserve">Wednesday </t>
  </si>
  <si>
    <t xml:space="preserve">Thursday </t>
  </si>
  <si>
    <t>Friday</t>
  </si>
  <si>
    <t>Customer</t>
  </si>
  <si>
    <t>ETD</t>
  </si>
  <si>
    <t>5735TU217</t>
  </si>
  <si>
    <t>REM107627</t>
  </si>
  <si>
    <t>4331tu175</t>
  </si>
  <si>
    <t>626tu203</t>
  </si>
  <si>
    <t>9524tu238</t>
  </si>
  <si>
    <t>Véhicule</t>
  </si>
  <si>
    <t>7797tu218</t>
  </si>
  <si>
    <t>Étiquettes de lignes</t>
  </si>
  <si>
    <t>(vide)</t>
  </si>
  <si>
    <t>Total général</t>
  </si>
  <si>
    <t xml:space="preserve">Somme de deplacement </t>
  </si>
  <si>
    <t>NB de pallettes</t>
  </si>
  <si>
    <t>Nb de bobines</t>
  </si>
  <si>
    <t>ETA</t>
  </si>
  <si>
    <t>Lear Meknes</t>
  </si>
  <si>
    <t xml:space="preserve">12 NPS400 </t>
  </si>
  <si>
    <t>W39</t>
  </si>
  <si>
    <t>W41</t>
  </si>
  <si>
    <t>Nexans</t>
  </si>
  <si>
    <t>Leoni Bistrita</t>
  </si>
  <si>
    <t>16 MRD800</t>
  </si>
  <si>
    <t>Vendredi W39</t>
  </si>
  <si>
    <t>Semi remorque</t>
  </si>
  <si>
    <t>TBC</t>
  </si>
  <si>
    <t>Customer contact</t>
  </si>
  <si>
    <t>Gross weight</t>
  </si>
  <si>
    <t>Status</t>
  </si>
  <si>
    <t>Pallet weight</t>
  </si>
  <si>
    <t>Total Gross weight</t>
  </si>
  <si>
    <t>Priority</t>
  </si>
  <si>
    <t>Position Nbr</t>
  </si>
  <si>
    <t>Comments</t>
  </si>
  <si>
    <t>CMR</t>
  </si>
  <si>
    <t>COFAT KAIROUAN</t>
  </si>
  <si>
    <t>EDI</t>
  </si>
  <si>
    <t>     9.686,039</t>
  </si>
  <si>
    <t>Jetty</t>
  </si>
  <si>
    <t>8H CHEZ LE CLIENT</t>
  </si>
  <si>
    <t>URGENTE</t>
  </si>
  <si>
    <t>le reste de la commande du samedi</t>
  </si>
  <si>
    <t>l’après-midi</t>
  </si>
  <si>
    <t>Weekly delivery schedule week 04</t>
  </si>
  <si>
    <t>25pos beja1 6pos beja 2</t>
  </si>
  <si>
    <t>VERS 13H00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</si>
</sst>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hh:mm;@" x16r2:formatCode16="[$-fr-TN,1]hh:mm;@"/>
    <numFmt numFmtId="165" formatCode="#,##0.00\ [$TND]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1A1A1A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8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1" xfId="0" applyFont="1" applyBorder="1"/>
    <xf numFmtId="0" fontId="6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0" fontId="8" fillId="0" borderId="13" xfId="0" applyFont="1" applyBorder="1"/>
    <xf numFmtId="0" fontId="9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6"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cem HMIDI" refreshedDate="45244.707778819444" createdVersion="8" refreshedVersion="8" minRefreshableVersion="3" recordCount="298" xr:uid="{5E69D96C-351D-4B5F-8038-DB0B92179C09}">
  <cacheSource type="worksheet">
    <worksheetSource ref="A1:H299" sheet="Feuil1"/>
  </cacheSource>
  <cacheFields count="8">
    <cacheField name="WEEK" numFmtId="0">
      <sharedItems/>
    </cacheField>
    <cacheField name="Date PICK UP" numFmtId="14">
      <sharedItems containsSemiMixedTypes="0" containsNonDate="0" containsDate="1" containsString="0" minDate="2023-10-14T00:00:00" maxDate="2023-11-14T00:00:00"/>
    </cacheField>
    <cacheField name="Delivery address" numFmtId="0">
      <sharedItems/>
    </cacheField>
    <cacheField name="weight " numFmtId="0">
      <sharedItems containsSemiMixedTypes="0" containsString="0" containsNumber="1" minValue="21.584" maxValue="45253.2"/>
    </cacheField>
    <cacheField name="Matricule" numFmtId="0">
      <sharedItems containsBlank="1" count="9">
        <s v="5735TU217"/>
        <s v="REM107627"/>
        <s v="4331tu175"/>
        <s v="626tu203"/>
        <s v="9524tu238"/>
        <s v="Véhicule"/>
        <s v="7797tu218"/>
        <m/>
        <s v="9524TU218" u="1"/>
      </sharedItems>
    </cacheField>
    <cacheField name="Chauffeur" numFmtId="0">
      <sharedItems containsBlank="1"/>
    </cacheField>
    <cacheField name="Real ETD COF TN" numFmtId="0">
      <sharedItems containsNonDate="0" containsDate="1" containsString="0" containsBlank="1" minDate="1899-12-30T01:00:00" maxDate="2023-11-09T06:45:00"/>
    </cacheField>
    <cacheField name="deplacement " numFmtId="165">
      <sharedItems containsString="0" containsBlank="1" containsNumber="1" containsInteger="1" minValue="0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s v="w41"/>
    <d v="2023-10-14T00:00:00"/>
    <s v="COFAT MATEUR"/>
    <n v="5799.7276699999993"/>
    <x v="0"/>
    <s v="Houssem"/>
    <d v="1899-12-30T09:15:00"/>
    <n v="5"/>
  </r>
  <r>
    <s v="w41"/>
    <d v="2023-10-14T00:00:00"/>
    <s v="LEONI Wiring Systems Tunisia SUD"/>
    <n v="1900.2"/>
    <x v="0"/>
    <s v="Houssem"/>
    <d v="1899-12-30T09:15:00"/>
    <n v="0"/>
  </r>
  <r>
    <s v="w41"/>
    <d v="2023-10-14T00:00:00"/>
    <s v="LEONI TUNISIE PROJET  Sousse"/>
    <n v="14586.2"/>
    <x v="1"/>
    <s v="KARIM"/>
    <d v="1899-12-30T09:15:00"/>
    <n v="10"/>
  </r>
  <r>
    <s v="w42"/>
    <d v="2023-10-16T00:00:00"/>
    <s v="Aptiv Services Tunisia SA"/>
    <n v="7638.8967400000001"/>
    <x v="2"/>
    <s v="Mehrez"/>
    <d v="1899-12-30T07:00:00"/>
    <n v="5"/>
  </r>
  <r>
    <s v="w42"/>
    <d v="2023-10-16T00:00:00"/>
    <s v="TTE International"/>
    <n v="6036.6917899999999"/>
    <x v="2"/>
    <s v="Mehrez"/>
    <d v="1899-12-30T12:00:00"/>
    <n v="5"/>
  </r>
  <r>
    <s v="w42"/>
    <d v="2023-10-16T00:00:00"/>
    <s v="Yazaki Automotive Products Tunisia"/>
    <n v="2971.1877100000002"/>
    <x v="2"/>
    <s v="Mehrez"/>
    <d v="1899-12-30T12:00:00"/>
    <n v="0"/>
  </r>
  <r>
    <s v="w42"/>
    <d v="2023-10-16T00:00:00"/>
    <s v="Perplastic"/>
    <n v="3256.2"/>
    <x v="3"/>
    <s v="Ridha"/>
    <d v="1899-12-30T07:00:00"/>
    <n v="5"/>
  </r>
  <r>
    <s v="w42"/>
    <d v="2023-10-16T00:00:00"/>
    <s v="SEWS TN SARL"/>
    <n v="5487.5835800000004"/>
    <x v="3"/>
    <s v="Ridha"/>
    <d v="1899-12-30T11:00:00"/>
    <n v="10"/>
  </r>
  <r>
    <s v="w42"/>
    <d v="2023-10-16T00:00:00"/>
    <s v="COFAT TUNIS"/>
    <n v="4552.8960999999999"/>
    <x v="0"/>
    <s v="Houssem"/>
    <d v="1899-12-30T07:00:00"/>
    <n v="0"/>
  </r>
  <r>
    <s v="w42"/>
    <d v="2023-10-16T00:00:00"/>
    <s v="Reflexallen"/>
    <n v="491.79750000000001"/>
    <x v="0"/>
    <s v="Houssem"/>
    <d v="1899-12-30T10:00:00"/>
    <n v="5"/>
  </r>
  <r>
    <s v="w42"/>
    <d v="2023-10-16T00:00:00"/>
    <s v="SCHULTE AUTOMOTIVE TUN ZA"/>
    <n v="5458.9347600000001"/>
    <x v="0"/>
    <s v="Houssem"/>
    <d v="1899-12-30T10:00:00"/>
    <n v="5"/>
  </r>
  <r>
    <s v="w42"/>
    <d v="2023-10-16T00:00:00"/>
    <s v="COFAT MATEUR"/>
    <n v="159.04515000000001"/>
    <x v="4"/>
    <s v="Hbib"/>
    <d v="1899-12-30T07:05:00"/>
    <n v="5"/>
  </r>
  <r>
    <s v="w42"/>
    <d v="2023-10-16T00:00:00"/>
    <s v="LEONI Wiring Systems Tunisia SUD"/>
    <n v="3889.5387500000002"/>
    <x v="4"/>
    <s v="Hbib"/>
    <d v="1899-12-30T07:05:00"/>
    <n v="0"/>
  </r>
  <r>
    <s v="w42"/>
    <d v="2023-10-16T00:00:00"/>
    <s v="LEONI Wiring Systems Tunisia NORD"/>
    <n v="4919.0329099999999"/>
    <x v="4"/>
    <s v="Hbib"/>
    <d v="1899-12-30T07:05:00"/>
    <n v="0"/>
  </r>
  <r>
    <s v="w42"/>
    <d v="2023-10-16T00:00:00"/>
    <s v="WeWire Hammamet Tunisia SARL"/>
    <n v="11275.05918"/>
    <x v="1"/>
    <s v="KARIM"/>
    <d v="1899-12-30T07:00:00"/>
    <n v="5"/>
  </r>
  <r>
    <s v="w42"/>
    <d v="2023-10-16T00:00:00"/>
    <s v="ELECTROCONTACT TUNISIE"/>
    <n v="21927.753779999999"/>
    <x v="1"/>
    <s v="KARIM"/>
    <d v="1899-12-30T11:30:00"/>
    <n v="10"/>
  </r>
  <r>
    <s v="w42"/>
    <d v="2023-10-17T00:00:00"/>
    <s v="SCHULTE AUTOMOTIVE TUNIS"/>
    <n v="5789.99395"/>
    <x v="4"/>
    <s v="Ridha"/>
    <d v="1899-12-30T05:00:00"/>
    <n v="10"/>
  </r>
  <r>
    <s v="w42"/>
    <d v="2023-10-17T00:00:00"/>
    <s v="DIS Draxlmaier Indust Solution Gmbh"/>
    <n v="1182.625"/>
    <x v="4"/>
    <s v="Ridha"/>
    <d v="1899-12-30T05:00:00"/>
    <n v="10"/>
  </r>
  <r>
    <s v="w42"/>
    <d v="2023-10-17T00:00:00"/>
    <s v="Lectric"/>
    <n v="230.142"/>
    <x v="4"/>
    <s v="Ridha"/>
    <d v="1899-12-30T05:00:00"/>
    <n v="5"/>
  </r>
  <r>
    <s v="w42"/>
    <d v="2023-10-17T00:00:00"/>
    <s v="WeWire Hammamet Tunisia SARL"/>
    <n v="12369.77736"/>
    <x v="4"/>
    <s v="Ridha"/>
    <d v="1899-12-30T18:00:00"/>
    <n v="5"/>
  </r>
  <r>
    <s v="w42"/>
    <d v="2023-10-17T00:00:00"/>
    <s v="Aptiv Services Tunisia SA"/>
    <n v="5300.6548199999997"/>
    <x v="2"/>
    <s v="Mehrez"/>
    <d v="1899-12-30T06:20:00"/>
    <n v="5"/>
  </r>
  <r>
    <s v="w42"/>
    <d v="2023-10-17T00:00:00"/>
    <s v="SEBN (SUMITOMO)"/>
    <n v="1762.4797900000001"/>
    <x v="2"/>
    <s v="Mehrez"/>
    <d v="1899-12-30T13:00:00"/>
    <n v="10"/>
  </r>
  <r>
    <s v="w42"/>
    <d v="2023-10-17T00:00:00"/>
    <s v="Kromberg &amp; Schubert  Tunisie SARL"/>
    <n v="9093.2770999999993"/>
    <x v="2"/>
    <s v="Mehrez"/>
    <d v="1899-12-30T13:00:00"/>
    <n v="10"/>
  </r>
  <r>
    <s v="w42"/>
    <d v="2023-10-17T00:00:00"/>
    <s v="YURA CORPORATION TUNISIA"/>
    <n v="13220.16056"/>
    <x v="1"/>
    <s v="KARIM"/>
    <d v="1899-12-30T07:45:00"/>
    <n v="10"/>
  </r>
  <r>
    <s v="w42"/>
    <d v="2023-10-17T00:00:00"/>
    <s v="MEDITERRANEAN ELECTRIC WIRING"/>
    <n v="441.30203"/>
    <x v="1"/>
    <s v="KARIM"/>
    <d v="1899-12-30T07:45:00"/>
    <n v="5"/>
  </r>
  <r>
    <s v="w42"/>
    <d v="2023-10-17T00:00:00"/>
    <s v="COFAT TUNIS"/>
    <n v="7330.2438199999997"/>
    <x v="0"/>
    <s v="Houssem"/>
    <d v="1899-12-30T07:00:00"/>
    <n v="0"/>
  </r>
  <r>
    <s v="w42"/>
    <d v="2023-10-17T00:00:00"/>
    <s v="COFAT MATEUR"/>
    <n v="6988.8562600000005"/>
    <x v="0"/>
    <s v="Houssem"/>
    <d v="1899-12-30T08:15:00"/>
    <n v="5"/>
  </r>
  <r>
    <s v="w42"/>
    <d v="2023-10-17T00:00:00"/>
    <s v="LEONI Wiring Systems Tunisia SUD"/>
    <n v="5844.7658700000002"/>
    <x v="0"/>
    <s v="Houssem"/>
    <d v="1899-12-30T08:15:00"/>
    <n v="0"/>
  </r>
  <r>
    <s v="w42"/>
    <d v="2023-10-17T00:00:00"/>
    <s v="LEONI Wiring Systems Tunisia NORD"/>
    <n v="3554.74557"/>
    <x v="0"/>
    <s v="Houssem"/>
    <d v="1899-12-30T08:15:00"/>
    <n v="0"/>
  </r>
  <r>
    <s v="w42"/>
    <d v="2023-10-17T00:00:00"/>
    <s v="LEONI TUNISIE PROJET  Sousse"/>
    <n v="6077.2060300000003"/>
    <x v="3"/>
    <s v="Hbib"/>
    <d v="1899-12-30T06:00:00"/>
    <n v="10"/>
  </r>
  <r>
    <s v="w42"/>
    <d v="2023-10-17T00:00:00"/>
    <s v="Perplastic"/>
    <n v="3652.2"/>
    <x v="3"/>
    <s v="Hbib"/>
    <d v="1899-12-30T15:00:00"/>
    <n v="5"/>
  </r>
  <r>
    <s v="w42"/>
    <d v="2023-10-18T00:00:00"/>
    <s v="LEONI TUNISIE PROJET  Sousse"/>
    <n v="12565.2"/>
    <x v="1"/>
    <s v="KARIM"/>
    <d v="1899-12-30T07:30:00"/>
    <n v="10"/>
  </r>
  <r>
    <s v="w42"/>
    <d v="2023-10-18T00:00:00"/>
    <s v="METS MANUFAC ELECTRO.DE SOUSSE"/>
    <n v="7749.3580400000001"/>
    <x v="1"/>
    <s v="KARIM"/>
    <d v="1899-12-30T07:30:00"/>
    <n v="5"/>
  </r>
  <r>
    <s v="w42"/>
    <d v="2023-10-18T00:00:00"/>
    <s v="COFAT TUNIS"/>
    <n v="7550.97649"/>
    <x v="0"/>
    <s v="Houssem"/>
    <d v="1899-12-30T11:55:00"/>
    <n v="0"/>
  </r>
  <r>
    <s v="w42"/>
    <d v="2023-10-18T00:00:00"/>
    <s v="Perplastic"/>
    <n v="3826.3990599999997"/>
    <x v="4"/>
    <s v="Ridha"/>
    <d v="1899-12-30T09:00:00"/>
    <n v="5"/>
  </r>
  <r>
    <s v="w42"/>
    <d v="2023-10-18T00:00:00"/>
    <s v="WeWire Hammamet Tunisia SARL"/>
    <n v="1018.50233"/>
    <x v="4"/>
    <s v="Ridha"/>
    <d v="1899-12-30T16:00:00"/>
    <n v="5"/>
  </r>
  <r>
    <s v="w42"/>
    <d v="2023-10-18T00:00:00"/>
    <s v="COFAT MATEUR"/>
    <n v="6420.3764199999996"/>
    <x v="0"/>
    <s v="Houssem"/>
    <d v="1899-12-30T06:00:00"/>
    <n v="5"/>
  </r>
  <r>
    <s v="w42"/>
    <d v="2023-10-18T00:00:00"/>
    <s v="LEONI Wiring Systems Tunisia SUD"/>
    <n v="4456.2"/>
    <x v="0"/>
    <s v="Houssem"/>
    <d v="1899-12-30T06:00:00"/>
    <n v="0"/>
  </r>
  <r>
    <s v="w42"/>
    <d v="2023-10-18T00:00:00"/>
    <s v="LEONI Wiring Systems Tunisia NORD"/>
    <n v="4562.2"/>
    <x v="0"/>
    <s v="Houssem"/>
    <d v="1899-12-30T06:00:00"/>
    <n v="0"/>
  </r>
  <r>
    <s v="w42"/>
    <d v="2023-10-18T00:00:00"/>
    <s v="ELECTROCONTACT TUNISIE"/>
    <n v="8562.2000000000007"/>
    <x v="2"/>
    <s v="Mehrez"/>
    <d v="1899-12-30T07:00:00"/>
    <n v="10"/>
  </r>
  <r>
    <s v="w42"/>
    <d v="2023-10-18T00:00:00"/>
    <s v="SEWS TN SARL"/>
    <n v="6745.1908999999996"/>
    <x v="2"/>
    <s v="Mehrez"/>
    <d v="1899-12-30T07:00:00"/>
    <n v="5"/>
  </r>
  <r>
    <s v="w42"/>
    <d v="2023-10-18T00:00:00"/>
    <s v="YAZAKI GAFSA"/>
    <n v="4175.1936500000002"/>
    <x v="3"/>
    <s v="Hbib"/>
    <d v="1899-12-30T01:00:00"/>
    <n v="25"/>
  </r>
  <r>
    <s v="w42"/>
    <d v="2023-10-18T00:00:00"/>
    <s v="YURA CORPORATION TUNISIA"/>
    <n v="120.2"/>
    <x v="5"/>
    <s v="Ridha"/>
    <d v="1899-12-30T01:00:00"/>
    <n v="10"/>
  </r>
  <r>
    <s v="w42"/>
    <d v="2023-10-18T00:00:00"/>
    <s v="LEONI TUNISIE PROJET  Sousse"/>
    <n v="162.19999999999999"/>
    <x v="6"/>
    <s v="Houssem"/>
    <d v="1899-12-30T14:15:00"/>
    <n v="10"/>
  </r>
  <r>
    <s v="w42"/>
    <d v="2023-10-19T00:00:00"/>
    <s v="COFAT TUNIS"/>
    <n v="6182.8445199999996"/>
    <x v="3"/>
    <s v="Hbib"/>
    <d v="1899-12-30T07:15:00"/>
    <n v="0"/>
  </r>
  <r>
    <s v="w42"/>
    <d v="2023-10-19T00:00:00"/>
    <s v="Aptiv Services Tunisia SA"/>
    <n v="6212.8851100000002"/>
    <x v="3"/>
    <s v="Hbib"/>
    <d v="1899-12-30T08:30:00"/>
    <n v="5"/>
  </r>
  <r>
    <s v="w42"/>
    <d v="2023-10-19T00:00:00"/>
    <s v="Kromberg &amp; Schubert  Tunisie SARL"/>
    <n v="5542.2"/>
    <x v="3"/>
    <s v="Hbib"/>
    <d v="1899-12-30T08:30:00"/>
    <n v="10"/>
  </r>
  <r>
    <s v="w42"/>
    <d v="2023-10-19T00:00:00"/>
    <s v="Yazaki Automotive Products Tunisia"/>
    <n v="1562.2"/>
    <x v="6"/>
    <s v="Mehrez"/>
    <d v="1899-12-30T07:00:00"/>
    <n v="5"/>
  </r>
  <r>
    <s v="w42"/>
    <d v="2023-10-19T00:00:00"/>
    <s v="LEONI Wiring Systems Tunisia SUD"/>
    <n v="6010.3154099999992"/>
    <x v="2"/>
    <s v="Houssem"/>
    <d v="1899-12-30T13:30:00"/>
    <n v="5"/>
  </r>
  <r>
    <s v="w42"/>
    <d v="2023-10-19T00:00:00"/>
    <s v="COFAT MATEUR"/>
    <n v="4249.8585199999998"/>
    <x v="2"/>
    <s v="Houssem"/>
    <d v="1899-12-30T13:30:00"/>
    <n v="0"/>
  </r>
  <r>
    <s v="w42"/>
    <d v="2023-10-19T00:00:00"/>
    <s v="YURA CORPORATION TUNISIA"/>
    <n v="10464.28966"/>
    <x v="1"/>
    <s v="KARIM"/>
    <d v="1899-12-30T07:00:00"/>
    <n v="10"/>
  </r>
  <r>
    <s v="w42"/>
    <d v="2023-10-19T00:00:00"/>
    <s v="AMPHENOL TUNISIE"/>
    <n v="3308.826"/>
    <x v="1"/>
    <s v="KARIM"/>
    <d v="1899-12-30T07:00:00"/>
    <n v="5"/>
  </r>
  <r>
    <s v="w42"/>
    <d v="2023-10-19T00:00:00"/>
    <s v="SCHULTE AUTOMOTIVE TUNIS"/>
    <n v="8177.8882000000003"/>
    <x v="0"/>
    <s v="Houssem"/>
    <d v="1899-12-30T04:25:00"/>
    <n v="10"/>
  </r>
  <r>
    <s v="w42"/>
    <d v="2023-10-19T00:00:00"/>
    <s v="Perplastic"/>
    <n v="3652.2"/>
    <x v="0"/>
    <s v="Houssem"/>
    <d v="1899-12-30T10:30:00"/>
    <n v="5"/>
  </r>
  <r>
    <s v="w42"/>
    <d v="2023-10-19T00:00:00"/>
    <s v="A C T Assemblage Cable Tunisie"/>
    <n v="753.12747999999999"/>
    <x v="4"/>
    <s v="Ridha"/>
    <d v="1899-12-30T07:00:00"/>
    <n v="5"/>
  </r>
  <r>
    <s v="w42"/>
    <d v="2023-10-19T00:00:00"/>
    <s v="LEONI TUNISIE PROJET  Sousse"/>
    <n v="13280.566870000001"/>
    <x v="4"/>
    <s v="Ridha"/>
    <d v="1899-12-30T07:00:00"/>
    <n v="10"/>
  </r>
  <r>
    <s v="w42"/>
    <d v="2023-10-20T00:00:00"/>
    <s v="COFAT TUNIS"/>
    <n v="4829.9619000000002"/>
    <x v="3"/>
    <s v="Hbib"/>
    <d v="1899-12-30T07:00:00"/>
    <n v="0"/>
  </r>
  <r>
    <s v="w42"/>
    <d v="2023-10-20T00:00:00"/>
    <s v="SEWS TN SARL"/>
    <n v="45253.2"/>
    <x v="3"/>
    <s v="Hbib"/>
    <d v="1899-12-30T09:00:00"/>
    <n v="10"/>
  </r>
  <r>
    <s v="w42"/>
    <d v="2023-10-20T00:00:00"/>
    <s v="COFAT MATEUR"/>
    <n v="4252.2868900000003"/>
    <x v="0"/>
    <s v="Houssem"/>
    <d v="1899-12-30T07:30:00"/>
    <n v="5"/>
  </r>
  <r>
    <s v="w42"/>
    <d v="2023-10-20T00:00:00"/>
    <s v="LEONI Wiring Systems Tunisia SUD"/>
    <n v="6582.2"/>
    <x v="0"/>
    <s v="Houssem"/>
    <d v="1899-12-30T07:30:00"/>
    <n v="0"/>
  </r>
  <r>
    <s v="w42"/>
    <d v="2023-10-20T00:00:00"/>
    <s v="LEONI Wiring Systems Tunisia NORD"/>
    <n v="1652.2"/>
    <x v="0"/>
    <s v="Houssem"/>
    <d v="1899-12-30T07:30:00"/>
    <n v="0"/>
  </r>
  <r>
    <s v="w42"/>
    <d v="2023-10-20T00:00:00"/>
    <s v="YURA CORPORATION TUNISIA"/>
    <n v="9936.1604700000007"/>
    <x v="1"/>
    <s v="KARIM"/>
    <d v="1899-12-30T07:30:00"/>
    <n v="10"/>
  </r>
  <r>
    <s v="w42"/>
    <d v="2023-10-20T00:00:00"/>
    <s v="SCHULTE AUTOMOTIVE TUNIS"/>
    <n v="4589.2"/>
    <x v="4"/>
    <s v="Ridha"/>
    <d v="1899-12-30T06:00:00"/>
    <n v="10"/>
  </r>
  <r>
    <s v="w42"/>
    <d v="2023-10-20T00:00:00"/>
    <s v="LEONI TUNISIE PROJET  Sousse"/>
    <n v="10232"/>
    <x v="2"/>
    <s v="Mehrez"/>
    <d v="1899-12-30T06:50:00"/>
    <n v="10"/>
  </r>
  <r>
    <s v="w42"/>
    <d v="2023-10-21T00:00:00"/>
    <s v="COFAT TUNIS"/>
    <n v="6809.5683900000013"/>
    <x v="2"/>
    <s v="Mehrez"/>
    <d v="1899-12-30T07:00:00"/>
    <n v="0"/>
  </r>
  <r>
    <s v="w42"/>
    <d v="2023-10-21T00:00:00"/>
    <s v="COFAT MATEUR"/>
    <n v="7656.2088900000008"/>
    <x v="2"/>
    <s v="Mehrez"/>
    <d v="1899-12-30T09:00:00"/>
    <n v="5"/>
  </r>
  <r>
    <s v="w42"/>
    <d v="2023-10-21T00:00:00"/>
    <s v="LEONI TUNISIE PROJET  Sousse"/>
    <n v="11158.616019999999"/>
    <x v="1"/>
    <s v="KARIM"/>
    <d v="1899-12-30T08:15:00"/>
    <n v="10"/>
  </r>
  <r>
    <s v="w42"/>
    <d v="2023-10-21T00:00:00"/>
    <s v="SCHULTE AUTOMOTIVE TUNIS"/>
    <n v="13000"/>
    <x v="4"/>
    <s v="Ridha"/>
    <d v="1899-12-30T07:00:00"/>
    <n v="10"/>
  </r>
  <r>
    <s v="w42"/>
    <d v="2023-10-21T00:00:00"/>
    <s v="SCHULTE AUTOMOTIVE TUNIS"/>
    <n v="600"/>
    <x v="6"/>
    <s v="Houssem"/>
    <d v="1899-12-30T07:00:00"/>
    <n v="10"/>
  </r>
  <r>
    <s v="w43"/>
    <d v="2023-10-23T00:00:00"/>
    <s v="Aptiv Services Tunisia SA"/>
    <n v="6444.2417500000001"/>
    <x v="3"/>
    <s v="Hbib"/>
    <d v="1899-12-30T07:00:00"/>
    <n v="5"/>
  </r>
  <r>
    <s v="w43"/>
    <d v="2023-10-23T00:00:00"/>
    <s v="TTE International"/>
    <n v="6927.1454999999996"/>
    <x v="3"/>
    <s v="Hbib"/>
    <d v="1899-12-30T13:30:00"/>
    <n v="5"/>
  </r>
  <r>
    <s v="w43"/>
    <d v="2023-10-23T00:00:00"/>
    <s v="Yazaki Automotive Products Tunisia"/>
    <n v="2967.9808800000001"/>
    <x v="3"/>
    <s v="Hbib"/>
    <d v="1899-12-30T13:30:00"/>
    <n v="0"/>
  </r>
  <r>
    <s v="w43"/>
    <d v="2023-10-23T00:00:00"/>
    <s v="COFAT TUNIS"/>
    <n v="2315.47037"/>
    <x v="2"/>
    <s v="Mehrez"/>
    <d v="1899-12-30T06:50:00"/>
    <n v="0"/>
  </r>
  <r>
    <s v="w43"/>
    <d v="2023-10-23T00:00:00"/>
    <s v="Perplastic"/>
    <n v="3521.2"/>
    <x v="2"/>
    <s v="Mehrez"/>
    <d v="1899-12-30T07:30:00"/>
    <n v="5"/>
  </r>
  <r>
    <s v="w43"/>
    <d v="2023-10-23T00:00:00"/>
    <s v="SEWS TN SARL"/>
    <n v="4645.88994"/>
    <x v="2"/>
    <s v="Mehrez"/>
    <d v="1899-12-30T12:00:00"/>
    <n v="10"/>
  </r>
  <r>
    <s v="w43"/>
    <d v="2023-10-23T00:00:00"/>
    <s v="LEONI Wiring Systems Tunisia NORD"/>
    <n v="4839.1819800000003"/>
    <x v="4"/>
    <s v="Ridha"/>
    <d v="1899-12-30T07:00:00"/>
    <n v="5"/>
  </r>
  <r>
    <s v="w43"/>
    <d v="2023-10-23T00:00:00"/>
    <s v="COFAT MATEUR"/>
    <n v="78.959999999999994"/>
    <x v="4"/>
    <s v="Ridha"/>
    <d v="1899-12-30T07:00:00"/>
    <n v="0"/>
  </r>
  <r>
    <s v="w43"/>
    <d v="2023-10-23T00:00:00"/>
    <s v="LEONI Wiring Systems Tunisia SUD"/>
    <n v="8110.4693599999991"/>
    <x v="4"/>
    <s v="Ridha"/>
    <d v="1899-12-30T07:00:00"/>
    <n v="0"/>
  </r>
  <r>
    <s v="w43"/>
    <d v="2023-10-23T00:00:00"/>
    <s v="SCHULTE AUTOMOTIVE TUN ZA"/>
    <n v="4411.7120000000004"/>
    <x v="4"/>
    <s v="Ridha"/>
    <d v="1899-12-30T17:00:00"/>
    <n v="5"/>
  </r>
  <r>
    <s v="w43"/>
    <d v="2023-10-23T00:00:00"/>
    <s v="WeWire Hammamet Tunisia SARL"/>
    <n v="17126.854920000002"/>
    <x v="1"/>
    <s v="KARIM"/>
    <d v="1899-12-30T06:00:00"/>
    <n v="5"/>
  </r>
  <r>
    <s v="w43"/>
    <d v="2023-10-23T00:00:00"/>
    <s v="ELECTROCONTACT TUNISIE"/>
    <n v="22151.642449999999"/>
    <x v="1"/>
    <s v="KARIM"/>
    <d v="1899-12-30T12:00:00"/>
    <n v="10"/>
  </r>
  <r>
    <s v="w43"/>
    <d v="2023-10-23T00:00:00"/>
    <s v="SEBN EL Fajja"/>
    <n v="338.584"/>
    <x v="6"/>
    <s v="Houssem"/>
    <d v="1899-12-30T09:00:00"/>
    <n v="5"/>
  </r>
  <r>
    <s v="w43"/>
    <d v="2023-10-23T00:00:00"/>
    <s v="AMPHENOL TUNISIE"/>
    <n v="456.2"/>
    <x v="6"/>
    <s v="Houssem"/>
    <d v="1899-12-30T09:00:00"/>
    <n v="5"/>
  </r>
  <r>
    <s v="w43"/>
    <d v="2023-10-23T00:00:00"/>
    <s v="STE S.C.E.E.T"/>
    <n v="307.56700000000001"/>
    <x v="6"/>
    <s v="Houssem"/>
    <d v="1899-12-30T09:00:00"/>
    <n v="0"/>
  </r>
  <r>
    <s v="w43"/>
    <d v="2023-10-23T00:00:00"/>
    <s v="WeWire Hammamet Tunisia SARL"/>
    <n v="17126.854920000002"/>
    <x v="6"/>
    <s v="Houssem"/>
    <d v="1899-12-30T15:30:00"/>
    <n v="5"/>
  </r>
  <r>
    <s v="w43"/>
    <d v="2023-10-24T00:00:00"/>
    <s v="DIS Draxlmaier Indust Solution Gmbh"/>
    <n v="830.60850000000005"/>
    <x v="6"/>
    <s v="Houssem"/>
    <d v="1899-12-30T06:15:00"/>
    <n v="10"/>
  </r>
  <r>
    <s v="w43"/>
    <d v="2023-10-24T00:00:00"/>
    <s v="Reflexallen"/>
    <n v="459.40800000000002"/>
    <x v="6"/>
    <s v="Houssem"/>
    <d v="1899-12-30T06:15:00"/>
    <n v="5"/>
  </r>
  <r>
    <s v="w43"/>
    <d v="2023-10-24T00:00:00"/>
    <s v="COELEC TUNISIA"/>
    <n v="1513.9449300000001"/>
    <x v="6"/>
    <s v="Houssem"/>
    <d v="1899-12-30T13:30:00"/>
    <n v="5"/>
  </r>
  <r>
    <s v="w43"/>
    <d v="2023-10-24T00:00:00"/>
    <s v="Aptiv Services Tunisia SA"/>
    <n v="4584.37907"/>
    <x v="4"/>
    <s v="Ridha"/>
    <d v="1899-12-30T07:00:00"/>
    <n v="5"/>
  </r>
  <r>
    <s v="w43"/>
    <d v="2023-10-24T00:00:00"/>
    <s v="SEBN (SUMITOMO)"/>
    <n v="1042.65606"/>
    <x v="4"/>
    <s v="Ridha"/>
    <d v="1899-12-30T12:00:00"/>
    <n v="10"/>
  </r>
  <r>
    <s v="w43"/>
    <d v="2023-10-24T00:00:00"/>
    <s v="Kromberg &amp; Schubert  Tunisie SARL"/>
    <n v="6223.2644300000002"/>
    <x v="4"/>
    <s v="Ridha"/>
    <d v="1899-12-30T12:00:00"/>
    <n v="5"/>
  </r>
  <r>
    <s v="w43"/>
    <d v="2023-10-24T00:00:00"/>
    <s v="YURA CORPORATION TUNISIA"/>
    <n v="9716.5507699999998"/>
    <x v="1"/>
    <s v="KARIM"/>
    <d v="1899-12-30T06:00:00"/>
    <n v="10"/>
  </r>
  <r>
    <s v="w43"/>
    <d v="2023-10-24T00:00:00"/>
    <s v="MEDITERRANEAN ELECTRIC WIRING"/>
    <n v="6120.4042399999998"/>
    <x v="1"/>
    <s v="KARIM"/>
    <d v="1899-12-30T06:00:00"/>
    <n v="5"/>
  </r>
  <r>
    <s v="w43"/>
    <d v="2023-10-24T00:00:00"/>
    <s v="WeWire Hammamet Tunisia SARL"/>
    <n v="20526.337370000001"/>
    <x v="1"/>
    <s v="KARIM"/>
    <d v="1899-12-30T17:30:00"/>
    <n v="5"/>
  </r>
  <r>
    <s v="w43"/>
    <d v="2023-10-24T00:00:00"/>
    <s v="COFAT TUNIS"/>
    <n v="9149.0016400000004"/>
    <x v="3"/>
    <s v="Hbib"/>
    <d v="1899-12-30T06:50:00"/>
    <n v="0"/>
  </r>
  <r>
    <s v="w43"/>
    <d v="2023-10-24T00:00:00"/>
    <s v="COFAT MATEUR"/>
    <n v="9485.0478199999998"/>
    <x v="3"/>
    <s v="Hbib"/>
    <d v="1899-12-30T09:00:00"/>
    <n v="5"/>
  </r>
  <r>
    <s v="w43"/>
    <d v="2023-10-24T00:00:00"/>
    <s v="LEONI Wiring Systems Tunisia SUD"/>
    <n v="4470.1647400000002"/>
    <x v="3"/>
    <s v="Hbib"/>
    <d v="1899-12-30T09:00:00"/>
    <n v="0"/>
  </r>
  <r>
    <s v="w43"/>
    <d v="2023-10-24T00:00:00"/>
    <s v="LEONI Wiring Systems Tunisia NORD"/>
    <n v="2584.0184599999998"/>
    <x v="3"/>
    <s v="Hbib"/>
    <d v="1899-12-30T09:00:00"/>
    <n v="0"/>
  </r>
  <r>
    <s v="w43"/>
    <d v="2023-10-24T00:00:00"/>
    <s v="LEONI TUNISIE PROJET  Sousse"/>
    <n v="13515.055259999999"/>
    <x v="2"/>
    <s v="Mehrez"/>
    <d v="1899-12-30T12:30:00"/>
    <n v="5"/>
  </r>
  <r>
    <s v="w43"/>
    <d v="2023-10-24T00:00:00"/>
    <s v="Perplastic"/>
    <n v="3623.2"/>
    <x v="2"/>
    <s v="Mehrez"/>
    <d v="1899-12-30T13:30:00"/>
    <n v="5"/>
  </r>
  <r>
    <s v="w43"/>
    <d v="2023-10-24T00:00:00"/>
    <s v="COFICAB MED"/>
    <n v="1236.2"/>
    <x v="3"/>
    <s v="Mehrez"/>
    <d v="1899-12-30T15:30:00"/>
    <n v="5"/>
  </r>
  <r>
    <s v="w43"/>
    <d v="2023-10-25T00:00:00"/>
    <s v="LEONI TUNISIE PROJET  Sousse"/>
    <n v="13948.340819999999"/>
    <x v="1"/>
    <s v="KARIM"/>
    <d v="1899-12-30T08:15:00"/>
    <n v="10"/>
  </r>
  <r>
    <s v="w43"/>
    <d v="2023-10-25T00:00:00"/>
    <s v="METS MANUFAC ELECTRO.DE SOUSSE"/>
    <n v="5461.4882100000004"/>
    <x v="1"/>
    <s v="KARIM"/>
    <d v="1899-12-30T08:15:00"/>
    <n v="10"/>
  </r>
  <r>
    <s v="w43"/>
    <d v="2023-10-25T00:00:00"/>
    <s v="COFAT TUNIS"/>
    <n v="4642.03316"/>
    <x v="4"/>
    <s v="Ridha"/>
    <d v="1899-12-30T07:00:00"/>
    <n v="0"/>
  </r>
  <r>
    <s v="w43"/>
    <d v="2023-10-25T00:00:00"/>
    <s v="ELECTROCONTACT TUNISIE"/>
    <n v="11791.416429999999"/>
    <x v="4"/>
    <s v="Ridha"/>
    <d v="1899-12-30T12:00:00"/>
    <n v="10"/>
  </r>
  <r>
    <s v="w43"/>
    <d v="2023-10-25T00:00:00"/>
    <s v="COFAT MATEUR"/>
    <n v="5068.9636500000006"/>
    <x v="0"/>
    <s v="Houssem"/>
    <d v="1899-12-30T08:05:00"/>
    <n v="5"/>
  </r>
  <r>
    <s v="w43"/>
    <d v="2023-10-25T00:00:00"/>
    <s v="LEONI Wiring Systems Tunisia SUD"/>
    <n v="7396.3746300000003"/>
    <x v="0"/>
    <s v="Houssem"/>
    <d v="1899-12-30T08:05:00"/>
    <n v="0"/>
  </r>
  <r>
    <s v="w43"/>
    <d v="2023-10-25T00:00:00"/>
    <s v="SEWS"/>
    <n v="6767.4909900000002"/>
    <x v="3"/>
    <s v="Hbib"/>
    <d v="1899-12-30T06:15:00"/>
    <n v="10"/>
  </r>
  <r>
    <s v="w43"/>
    <d v="2023-10-25T00:00:00"/>
    <s v="CABLISYS TUNISIE"/>
    <n v="65.968000000000004"/>
    <x v="3"/>
    <s v="Hbib"/>
    <d v="1899-12-30T06:15:00"/>
    <n v="5"/>
  </r>
  <r>
    <s v="w43"/>
    <d v="2023-10-25T00:00:00"/>
    <s v="YAZAKI GAFSA"/>
    <n v="5681.8033500000001"/>
    <x v="2"/>
    <s v="Mehrez"/>
    <d v="1899-12-30T03:30:00"/>
    <n v="25"/>
  </r>
  <r>
    <s v="w43"/>
    <d v="2023-10-25T00:00:00"/>
    <s v="Kromberg &amp; Schubert  Tunisie SARL"/>
    <n v="1004.6168"/>
    <x v="6"/>
    <s v="Houssem"/>
    <d v="1899-12-30T16:45:00"/>
    <n v="10"/>
  </r>
  <r>
    <s v="w43"/>
    <d v="2023-10-25T00:00:00"/>
    <s v="SEBN (SUMITOMO)"/>
    <n v="21.584"/>
    <x v="6"/>
    <s v="Houssem"/>
    <d v="1899-12-30T16:45:00"/>
    <n v="5"/>
  </r>
  <r>
    <s v="w43"/>
    <d v="2023-10-26T00:00:00"/>
    <s v="COFAT TUNIS"/>
    <n v="4930.10466"/>
    <x v="0"/>
    <s v="Houssem"/>
    <d v="1899-12-30T06:30:00"/>
    <n v="0"/>
  </r>
  <r>
    <s v="w43"/>
    <d v="2023-10-26T00:00:00"/>
    <s v="Aptiv Services Tunisia SA"/>
    <n v="3015.22019"/>
    <x v="0"/>
    <s v="Houssem"/>
    <d v="1899-12-30T08:00:00"/>
    <n v="5"/>
  </r>
  <r>
    <s v="w43"/>
    <d v="2023-10-26T00:00:00"/>
    <s v="SCHULTE AUTOMOTIVE TUNIS"/>
    <n v="452.2"/>
    <x v="0"/>
    <s v="Houssem"/>
    <d v="1899-12-30T08:00:00"/>
    <n v="10"/>
  </r>
  <r>
    <s v="w43"/>
    <d v="2023-10-26T00:00:00"/>
    <s v="LEONI Wiring Systems Tunisia SUD"/>
    <n v="3319.12934"/>
    <x v="2"/>
    <s v="Mehrez"/>
    <d v="1899-12-30T07:00:00"/>
    <n v="5"/>
  </r>
  <r>
    <s v="w43"/>
    <d v="2023-10-26T00:00:00"/>
    <s v="COFAT MATEUR"/>
    <n v="5767.7787900000003"/>
    <x v="2"/>
    <s v="Mehrez"/>
    <d v="1899-12-30T07:00:00"/>
    <n v="0"/>
  </r>
  <r>
    <s v="w43"/>
    <d v="2023-10-26T00:00:00"/>
    <s v="YURA CORPORATION TUNISIA"/>
    <n v="6950.4379200000003"/>
    <x v="1"/>
    <s v="KARIM"/>
    <d v="1899-12-30T07:15:00"/>
    <n v="10"/>
  </r>
  <r>
    <s v="w43"/>
    <d v="2023-10-26T00:00:00"/>
    <s v="AMPHENOL TUNISIE"/>
    <n v="2765.962"/>
    <x v="1"/>
    <s v="KARIM"/>
    <d v="1899-12-30T07:15:00"/>
    <n v="5"/>
  </r>
  <r>
    <s v="w43"/>
    <d v="2023-10-26T00:00:00"/>
    <s v="SCHULTE AUTOMOTIVE TUNIS"/>
    <n v="9508.4098799999992"/>
    <x v="4"/>
    <s v="Ridha"/>
    <d v="1899-12-30T06:30:00"/>
    <n v="10"/>
  </r>
  <r>
    <s v="w43"/>
    <d v="2023-10-26T00:00:00"/>
    <s v="SATS"/>
    <n v="691.26300000000003"/>
    <x v="4"/>
    <s v="Ridha"/>
    <d v="1899-12-30T06:30:00"/>
    <n v="5"/>
  </r>
  <r>
    <s v="w43"/>
    <d v="2023-10-26T00:00:00"/>
    <s v="LEONI TUNISIE PROJET  Sousse"/>
    <n v="15798.496719999999"/>
    <x v="3"/>
    <s v="Hbib"/>
    <d v="1899-12-30T07:00:00"/>
    <n v="10"/>
  </r>
  <r>
    <s v="w43"/>
    <d v="2023-10-26T00:00:00"/>
    <s v="COFICAB MED"/>
    <n v="10023.200000000001"/>
    <x v="3"/>
    <s v="Hbib"/>
    <d v="1899-12-30T14:45:00"/>
    <n v="5"/>
  </r>
  <r>
    <s v="w43"/>
    <d v="2023-10-26T00:00:00"/>
    <s v="I.C.eM"/>
    <n v="209.07318000000001"/>
    <x v="6"/>
    <s v="Houssem"/>
    <d v="1899-12-30T14:00:00"/>
    <n v="5"/>
  </r>
  <r>
    <s v="w43"/>
    <d v="2023-10-26T00:00:00"/>
    <s v="A C T Assemblage Cable Tunisie"/>
    <n v="4893.6351599999998"/>
    <x v="6"/>
    <s v="Houssem"/>
    <d v="1899-12-30T14:00:00"/>
    <n v="0"/>
  </r>
  <r>
    <s v="w43"/>
    <d v="2023-10-26T00:00:00"/>
    <s v="WeWire Hammamet Tunisia SARL"/>
    <n v="6586.2"/>
    <x v="4"/>
    <s v="Ridha"/>
    <m/>
    <n v="5"/>
  </r>
  <r>
    <s v="w43"/>
    <d v="2023-10-27T00:00:00"/>
    <s v="COFAT MATEUR"/>
    <n v="1017.1"/>
    <x v="4"/>
    <s v="Ridha"/>
    <d v="1899-12-30T06:00:00"/>
    <n v="5"/>
  </r>
  <r>
    <s v="w43"/>
    <d v="2023-10-27T00:00:00"/>
    <s v="LEONI Wiring Systems Tunisia SUD"/>
    <n v="6708.6121999999996"/>
    <x v="4"/>
    <s v="Ridha"/>
    <d v="1899-12-30T06:00:00"/>
    <n v="0"/>
  </r>
  <r>
    <s v="w43"/>
    <d v="2023-10-27T00:00:00"/>
    <s v="LEONI Wiring Systems Tunisia NORD"/>
    <n v="5118.8013199999996"/>
    <x v="4"/>
    <s v="Ridha"/>
    <d v="1899-12-30T06:00:00"/>
    <n v="0"/>
  </r>
  <r>
    <s v="w43"/>
    <d v="2023-10-27T00:00:00"/>
    <s v="YURA CORPORATION TUNISIA"/>
    <n v="6438.1135700000004"/>
    <x v="1"/>
    <s v="Hbib"/>
    <d v="1899-12-30T07:50:00"/>
    <n v="10"/>
  </r>
  <r>
    <s v="w43"/>
    <d v="2023-10-27T00:00:00"/>
    <s v="SEWS "/>
    <n v="6438.2846300000001"/>
    <x v="1"/>
    <s v="KARIM"/>
    <d v="1899-12-30T07:40:00"/>
    <n v="10"/>
  </r>
  <r>
    <s v="w43"/>
    <d v="2023-10-27T00:00:00"/>
    <s v="LEONI TUNISIE PROJET  Sousse"/>
    <n v="10023.200000000001"/>
    <x v="1"/>
    <s v="KARIM"/>
    <d v="1899-12-30T07:40:00"/>
    <n v="5"/>
  </r>
  <r>
    <s v="w43"/>
    <d v="2023-10-27T00:00:00"/>
    <s v="COFAT TUNIS"/>
    <n v="6467.8083999999999"/>
    <x v="2"/>
    <s v="Mehrez"/>
    <d v="1899-12-30T06:45:00"/>
    <n v="0"/>
  </r>
  <r>
    <s v="w43"/>
    <d v="2023-10-27T00:00:00"/>
    <s v="Perplastic"/>
    <n v="3652.2"/>
    <x v="2"/>
    <s v="Mehrez"/>
    <d v="1899-12-30T08:00:00"/>
    <n v="5"/>
  </r>
  <r>
    <s v="w43"/>
    <d v="2023-10-27T00:00:00"/>
    <s v="ELECTROCONTACT TUNISIE"/>
    <n v="10849.784890000001"/>
    <x v="2"/>
    <s v="Mehrez"/>
    <d v="1899-12-30T11:15:00"/>
    <n v="10"/>
  </r>
  <r>
    <s v="w43"/>
    <d v="2023-10-27T00:00:00"/>
    <s v="SCHULTE AUTOMOTIVE TUNIS"/>
    <n v="8393.8860800000002"/>
    <x v="0"/>
    <s v="Houssem"/>
    <d v="1899-12-30T08:30:00"/>
    <n v="10"/>
  </r>
  <r>
    <s v="w43"/>
    <d v="2023-10-27T00:00:00"/>
    <s v="Aptiv Services Tunisia SA"/>
    <n v="4055.5192900000002"/>
    <x v="0"/>
    <s v="Houssem"/>
    <d v="1899-12-30T08:30:00"/>
    <n v="5"/>
  </r>
  <r>
    <s v="w43"/>
    <d v="2023-10-28T00:00:00"/>
    <s v="LEONI TUNISIE PROJET  Sousse"/>
    <n v="8953.2000000000007"/>
    <x v="2"/>
    <s v="Mehrez"/>
    <d v="1899-12-30T06:00:00"/>
    <n v="10"/>
  </r>
  <r>
    <s v="w43"/>
    <d v="2023-10-28T00:00:00"/>
    <s v="perplastic"/>
    <n v="3215.2"/>
    <x v="0"/>
    <s v="Houssem"/>
    <d v="1899-12-30T10:00:00"/>
    <n v="5"/>
  </r>
  <r>
    <s v="w43"/>
    <d v="2023-10-28T00:00:00"/>
    <s v="CARTON MGHIRA"/>
    <n v="1000.2"/>
    <x v="6"/>
    <s v="Houssem"/>
    <d v="1899-12-30T07:00:00"/>
    <n v="5"/>
  </r>
  <r>
    <s v="w43"/>
    <d v="2023-10-28T00:00:00"/>
    <s v="COFAT MATEUR"/>
    <n v="3793.5315999999998"/>
    <x v="3"/>
    <s v="Hbib"/>
    <d v="1899-12-30T08:50:00"/>
    <n v="5"/>
  </r>
  <r>
    <s v="w44"/>
    <d v="2023-10-30T00:00:00"/>
    <s v="Aptiv Services Tunisia SA"/>
    <n v="4871.8745099999996"/>
    <x v="4"/>
    <s v="Ridha"/>
    <d v="1899-12-30T06:25:00"/>
    <n v="5"/>
  </r>
  <r>
    <s v="w44"/>
    <d v="2023-10-30T00:00:00"/>
    <s v="TTE International"/>
    <n v="1779.2"/>
    <x v="4"/>
    <s v="Ridha"/>
    <d v="1899-12-30T14:00:00"/>
    <n v="5"/>
  </r>
  <r>
    <s v="w44"/>
    <d v="2023-10-30T00:00:00"/>
    <s v="Yazaki Automotive Products Tunisia"/>
    <n v="5101.8981199999998"/>
    <x v="4"/>
    <s v="Ridha"/>
    <d v="1899-12-30T14:00:00"/>
    <n v="0"/>
  </r>
  <r>
    <s v="w44"/>
    <d v="2023-10-30T00:00:00"/>
    <s v="COFAT TUNIS"/>
    <n v="5893.2"/>
    <x v="3"/>
    <s v="Hbib"/>
    <d v="1899-12-30T07:30:00"/>
    <n v="0"/>
  </r>
  <r>
    <s v="w44"/>
    <d v="2023-10-30T00:00:00"/>
    <s v="Perplastic"/>
    <n v="3200.2"/>
    <x v="3"/>
    <s v="Hbib"/>
    <d v="1899-12-30T08:35:00"/>
    <n v="5"/>
  </r>
  <r>
    <s v="w44"/>
    <d v="2023-10-30T00:00:00"/>
    <s v="wewire enfidha"/>
    <n v="10256.200000000001"/>
    <x v="3"/>
    <s v="Hbib"/>
    <d v="1899-12-30T12:45:00"/>
    <n v="10"/>
  </r>
  <r>
    <s v="w44"/>
    <d v="2023-10-30T00:00:00"/>
    <s v="LEONI Wiring Systems Tunisia NORD"/>
    <n v="2456.1999999999998"/>
    <x v="2"/>
    <s v="Mehrez"/>
    <d v="1899-12-30T06:30:00"/>
    <n v="5"/>
  </r>
  <r>
    <s v="w44"/>
    <d v="2023-10-30T00:00:00"/>
    <s v="COFAT MATEUR"/>
    <n v="282.8"/>
    <x v="2"/>
    <s v="Mehrez"/>
    <d v="1899-12-30T06:30:00"/>
    <n v="0"/>
  </r>
  <r>
    <s v="w44"/>
    <d v="2023-10-30T00:00:00"/>
    <s v="LEONI Wiring Systems Tunisia SUD"/>
    <n v="4562.2"/>
    <x v="2"/>
    <s v="Mehrez"/>
    <d v="1899-12-30T06:30:00"/>
    <n v="0"/>
  </r>
  <r>
    <s v="w44"/>
    <d v="2023-10-30T00:00:00"/>
    <s v="SCHULTE AUTOMOTIVE TUN ZA"/>
    <n v="4959.5614599999999"/>
    <x v="2"/>
    <s v="Mehrez"/>
    <d v="1899-12-30T15:45:00"/>
    <n v="5"/>
  </r>
  <r>
    <s v="w44"/>
    <d v="2023-10-30T00:00:00"/>
    <s v="WeWire Hammamet Tunisia SARL"/>
    <n v="25899.200000000001"/>
    <x v="1"/>
    <s v="KARIM"/>
    <d v="1899-12-30T06:00:00"/>
    <n v="5"/>
  </r>
  <r>
    <s v="w44"/>
    <d v="2023-10-30T00:00:00"/>
    <s v="ELECTROCONTACT TUNISIE"/>
    <n v="23875.200000000001"/>
    <x v="1"/>
    <s v="KARIM"/>
    <d v="1899-12-30T12:13:00"/>
    <n v="10"/>
  </r>
  <r>
    <s v="w44"/>
    <d v="2023-10-30T00:00:00"/>
    <s v="SEBN El FAJJA"/>
    <n v="298.23379999999997"/>
    <x v="6"/>
    <s v="Houssem"/>
    <d v="1899-12-30T07:00:00"/>
    <n v="5"/>
  </r>
  <r>
    <s v="w44"/>
    <d v="2023-10-30T00:00:00"/>
    <s v="Lectric"/>
    <n v="76.767399999999995"/>
    <x v="6"/>
    <s v="Houssem"/>
    <d v="1899-12-30T07:00:00"/>
    <n v="5"/>
  </r>
  <r>
    <s v="w44"/>
    <d v="2023-10-30T00:00:00"/>
    <s v="Sceet"/>
    <n v="146.19035"/>
    <x v="6"/>
    <s v="Houssem"/>
    <d v="1899-12-30T07:00:00"/>
    <n v="0"/>
  </r>
  <r>
    <s v="w44"/>
    <d v="2023-10-30T00:00:00"/>
    <s v="SEWS"/>
    <n v="9543.0774299999994"/>
    <x v="0"/>
    <s v="Bilel"/>
    <d v="1899-12-30T07:00:00"/>
    <n v="10"/>
  </r>
  <r>
    <s v="w44"/>
    <d v="2023-10-31T00:00:00"/>
    <s v="DIS Draxlmaier Indust Solution Gmbh"/>
    <n v="839.97550000000001"/>
    <x v="2"/>
    <s v="Mehrez"/>
    <d v="1899-12-30T06:40:00"/>
    <n v="10"/>
  </r>
  <r>
    <s v="w44"/>
    <d v="2023-10-31T00:00:00"/>
    <s v="Reflexallen"/>
    <n v="442.54059999999998"/>
    <x v="2"/>
    <s v="Mehrez"/>
    <d v="1899-12-30T06:40:00"/>
    <n v="5"/>
  </r>
  <r>
    <s v="w44"/>
    <d v="2023-10-31T00:00:00"/>
    <s v="MEDITERRANEAN ELECTRIC WIRING"/>
    <n v="727.74508999999989"/>
    <x v="2"/>
    <s v="Mehrez"/>
    <d v="1899-12-30T06:40:00"/>
    <n v="10"/>
  </r>
  <r>
    <s v="w44"/>
    <d v="2023-10-31T00:00:00"/>
    <s v="SCHULTE AUTOMOTIVE TUNIS"/>
    <n v="6583.2"/>
    <x v="2"/>
    <s v="Mehrez"/>
    <d v="1899-12-30T06:40:00"/>
    <n v="5"/>
  </r>
  <r>
    <s v="w44"/>
    <d v="2023-10-31T00:00:00"/>
    <s v="Aptiv Services Tunisia SA"/>
    <n v="4871.8745099999996"/>
    <x v="3"/>
    <s v="Hbib"/>
    <d v="1899-12-30T06:35:00"/>
    <n v="5"/>
  </r>
  <r>
    <s v="w44"/>
    <d v="2023-10-31T00:00:00"/>
    <s v="Perplastic"/>
    <n v="3201.2"/>
    <x v="3"/>
    <s v="Hbib"/>
    <d v="1899-12-30T10:20:00"/>
    <n v="5"/>
  </r>
  <r>
    <s v="w44"/>
    <d v="2023-10-31T00:00:00"/>
    <s v="SEBN (SUMITOMO)"/>
    <n v="10008.57862"/>
    <x v="3"/>
    <s v="Hbib"/>
    <d v="1899-12-30T17:20:00"/>
    <n v="10"/>
  </r>
  <r>
    <s v="w44"/>
    <d v="2023-10-31T00:00:00"/>
    <s v="Kromberg &amp; Schubert  Tunisie SARL"/>
    <n v="7277.4941099999996"/>
    <x v="4"/>
    <s v="Ridha"/>
    <d v="1899-12-30T17:00:00"/>
    <n v="10"/>
  </r>
  <r>
    <s v="w44"/>
    <d v="2023-10-31T00:00:00"/>
    <s v="LEONI TUNISIE PROJET  Sousse"/>
    <n v="14223.744339999999"/>
    <x v="1"/>
    <s v="KARIM"/>
    <d v="1899-12-30T06:30:00"/>
    <n v="10"/>
  </r>
  <r>
    <s v="w44"/>
    <d v="2023-10-31T00:00:00"/>
    <s v="METS MANUFAC ELECTRO.DE SOUSSE"/>
    <n v="4635.7520199999999"/>
    <x v="1"/>
    <s v="KARIM"/>
    <d v="1899-12-30T06:30:00"/>
    <n v="5"/>
  </r>
  <r>
    <s v="w44"/>
    <d v="2023-10-31T00:00:00"/>
    <s v="COF TN"/>
    <n v="8598.64624"/>
    <x v="4"/>
    <s v="Ridha"/>
    <d v="1899-12-30T06:30:00"/>
    <n v="0"/>
  </r>
  <r>
    <s v="w44"/>
    <d v="2023-10-31T00:00:00"/>
    <s v="COFAT MATEUR"/>
    <n v="8150.6345699999993"/>
    <x v="4"/>
    <s v="Ridha"/>
    <d v="1899-12-30T08:00:00"/>
    <n v="5"/>
  </r>
  <r>
    <s v="w44"/>
    <d v="2023-10-31T00:00:00"/>
    <s v="LEONI Wiring Systems Tunisia SUD"/>
    <n v="2029.50199"/>
    <x v="4"/>
    <s v="Ridha"/>
    <d v="1899-12-30T08:00:00"/>
    <n v="0"/>
  </r>
  <r>
    <s v="w44"/>
    <d v="2023-10-31T00:00:00"/>
    <s v="COF MED"/>
    <n v="4562.2"/>
    <x v="2"/>
    <s v="Bilel"/>
    <d v="1899-12-30T07:15:00"/>
    <n v="5"/>
  </r>
  <r>
    <s v="w44"/>
    <d v="2023-10-31T00:00:00"/>
    <s v="wewire enfidha"/>
    <n v="9370.7943699999996"/>
    <x v="2"/>
    <s v="Bilel"/>
    <d v="1899-12-30T15:00:00"/>
    <n v="10"/>
  </r>
  <r>
    <s v="w44"/>
    <d v="2023-10-31T00:00:00"/>
    <s v="COFAT MATEUR"/>
    <n v="654.20000000000005"/>
    <x v="4"/>
    <s v="Ridha"/>
    <d v="1899-12-30T22:00:00"/>
    <n v="5"/>
  </r>
  <r>
    <s v="w44"/>
    <d v="2023-11-01T00:00:00"/>
    <s v="YURA CORPORATION TUNISIA"/>
    <n v="8985.2000000000007"/>
    <x v="1"/>
    <s v="KARIM"/>
    <d v="1899-12-30T10:50:00"/>
    <n v="10"/>
  </r>
  <r>
    <s v="w44"/>
    <d v="2023-11-01T00:00:00"/>
    <s v="MEDITERRANEAN ELECTRIC WIRING"/>
    <n v="1562.2"/>
    <x v="1"/>
    <s v="KARIM"/>
    <d v="1899-12-30T10:50:00"/>
    <n v="5"/>
  </r>
  <r>
    <s v="w44"/>
    <d v="2023-11-01T00:00:00"/>
    <s v="LEONI Wiring Systems Tunisia SUD"/>
    <n v="5995.4766499999996"/>
    <x v="2"/>
    <s v="Mehrez"/>
    <d v="1899-12-30T09:10:00"/>
    <n v="5"/>
  </r>
  <r>
    <s v="w44"/>
    <d v="2023-11-01T00:00:00"/>
    <s v="COFAT MATEUR"/>
    <n v="1756.7246"/>
    <x v="2"/>
    <s v="Mehrez"/>
    <d v="1899-12-30T09:10:00"/>
    <n v="5"/>
  </r>
  <r>
    <s v="w44"/>
    <d v="2023-11-01T00:00:00"/>
    <s v="ELECTROCONTACT TUNISIE"/>
    <n v="8695.2000000000007"/>
    <x v="2"/>
    <s v="Mehrez"/>
    <d v="1899-12-30T14:35:00"/>
    <n v="10"/>
  </r>
  <r>
    <s v="w44"/>
    <d v="2023-11-01T00:00:00"/>
    <s v="COFAT TUNIS"/>
    <n v="5815.0067399999998"/>
    <x v="7"/>
    <m/>
    <d v="1899-12-30T18:00:00"/>
    <m/>
  </r>
  <r>
    <s v="w44"/>
    <d v="2023-11-01T00:00:00"/>
    <s v="SEWS TN SARL"/>
    <n v="6584.2"/>
    <x v="3"/>
    <s v="Hbib"/>
    <d v="1899-12-30T06:15:00"/>
    <n v="10"/>
  </r>
  <r>
    <s v="w44"/>
    <d v="2023-11-01T00:00:00"/>
    <s v="adc sousse"/>
    <n v="8579.3992500000004"/>
    <x v="4"/>
    <s v="Ridha"/>
    <d v="1899-12-30T14:00:00"/>
    <n v="10"/>
  </r>
  <r>
    <s v="w44"/>
    <d v="2023-11-01T00:00:00"/>
    <s v="YAZAKI GAFSA"/>
    <n v="5625.2"/>
    <x v="0"/>
    <s v="Bilel"/>
    <d v="1899-12-30T04:00:00"/>
    <n v="25"/>
  </r>
  <r>
    <s v="w44"/>
    <d v="2023-11-01T00:00:00"/>
    <s v="COFAT MATEUR"/>
    <n v="452.2"/>
    <x v="6"/>
    <s v="Mehrez"/>
    <d v="1899-12-30T18:30:00"/>
    <n v="5"/>
  </r>
  <r>
    <s v="w44"/>
    <d v="2023-11-01T00:00:00"/>
    <s v="perplastic"/>
    <n v="3252.2"/>
    <x v="4"/>
    <s v="Ridha"/>
    <d v="1899-12-30T12:00:00"/>
    <n v="5"/>
  </r>
  <r>
    <s v="w44"/>
    <d v="2023-11-01T00:00:00"/>
    <s v="SCHULTE AUTOMOTIVE TUNIS"/>
    <n v="9304.0121799999997"/>
    <x v="3"/>
    <s v="Hbib"/>
    <d v="1899-12-30T19:00:00"/>
    <n v="10"/>
  </r>
  <r>
    <s v="w44"/>
    <d v="2023-11-02T00:00:00"/>
    <s v="Aptiv Services Tunisia SARL"/>
    <n v="2941.86465"/>
    <x v="0"/>
    <s v="Bilel"/>
    <d v="1899-12-30T06:00:00"/>
    <n v="5"/>
  </r>
  <r>
    <s v="w44"/>
    <d v="2023-11-02T00:00:00"/>
    <s v="COFAT TUNIS"/>
    <n v="7041.1330400000006"/>
    <x v="4"/>
    <s v="Ridha"/>
    <d v="1899-12-30T08:30:00"/>
    <n v="0"/>
  </r>
  <r>
    <s v="w44"/>
    <d v="2023-11-02T00:00:00"/>
    <s v="I.C.eM"/>
    <n v="7976.5693199999996"/>
    <x v="4"/>
    <s v="Ridha"/>
    <d v="1899-12-30T10:00:00"/>
    <n v="5"/>
  </r>
  <r>
    <s v="w44"/>
    <d v="2023-11-02T00:00:00"/>
    <s v="A C T Assemblage Cable Tunisie"/>
    <n v="2155.0779699999998"/>
    <x v="4"/>
    <s v="Ridha"/>
    <d v="1899-12-30T10:00:00"/>
    <n v="5"/>
  </r>
  <r>
    <s v="w44"/>
    <d v="2023-11-02T00:00:00"/>
    <s v="COFAT MATEUR"/>
    <n v="5037.53953"/>
    <x v="3"/>
    <s v="Hbib"/>
    <d v="1899-12-30T07:00:00"/>
    <n v="5"/>
  </r>
  <r>
    <s v="w44"/>
    <d v="2023-11-02T00:00:00"/>
    <s v="LEONI Wiring Systems Tunisia SUD"/>
    <n v="2551.0555399999998"/>
    <x v="3"/>
    <s v="Hbib"/>
    <d v="1899-12-30T07:00:00"/>
    <n v="0"/>
  </r>
  <r>
    <s v="w44"/>
    <d v="2023-11-02T00:00:00"/>
    <s v="LEONI Wiring Systems Tunisia NORD"/>
    <n v="4716.19848"/>
    <x v="3"/>
    <s v="Hbib"/>
    <d v="1899-12-30T07:00:00"/>
    <n v="0"/>
  </r>
  <r>
    <s v="w44"/>
    <d v="2023-11-02T00:00:00"/>
    <s v="YURA CORPORATION TUNISIA"/>
    <n v="9327.3047399999996"/>
    <x v="1"/>
    <s v="KARIM"/>
    <d v="1899-12-30T10:30:00"/>
    <n v="10"/>
  </r>
  <r>
    <s v="w44"/>
    <d v="2023-11-02T00:00:00"/>
    <s v="AMPHENOL TUNISIE"/>
    <n v="3420.3935000000001"/>
    <x v="6"/>
    <s v="Houssem"/>
    <d v="1899-12-30T14:00:00"/>
    <n v="5"/>
  </r>
  <r>
    <s v="w44"/>
    <d v="2023-11-02T00:00:00"/>
    <s v="ADC"/>
    <n v="10312.200000000001"/>
    <x v="2"/>
    <s v="Mehrez"/>
    <d v="1899-12-30T06:00:00"/>
    <n v="10"/>
  </r>
  <r>
    <s v="w44"/>
    <d v="2023-11-02T00:00:00"/>
    <s v="AMPHENOL TUNISIE"/>
    <n v="1000"/>
    <x v="6"/>
    <s v="Houssem"/>
    <d v="1899-12-30T17:00:00"/>
    <n v="5"/>
  </r>
  <r>
    <s v="w44"/>
    <d v="2023-11-02T00:00:00"/>
    <s v="coficab med ==&gt; coficab tn"/>
    <n v="11317.82735"/>
    <x v="2"/>
    <s v="Mehrez"/>
    <d v="1899-12-30T06:00:00"/>
    <n v="5"/>
  </r>
  <r>
    <s v="w44"/>
    <d v="2023-11-03T00:00:00"/>
    <s v="COFAT MATEUR"/>
    <n v="6286.1573200000003"/>
    <x v="4"/>
    <s v="Ridha"/>
    <d v="1899-12-30T07:00:00"/>
    <n v="5"/>
  </r>
  <r>
    <s v="w44"/>
    <d v="2023-11-03T00:00:00"/>
    <s v="LEONI Wiring Systems Tunisia SUD"/>
    <n v="1502.9709700000001"/>
    <x v="4"/>
    <s v="Ridha"/>
    <d v="1899-12-30T07:00:00"/>
    <n v="0"/>
  </r>
  <r>
    <s v="w44"/>
    <d v="2023-11-03T00:00:00"/>
    <s v="LEONI Wiring Systems Tunisia NORD"/>
    <n v="5695.6325500000003"/>
    <x v="4"/>
    <s v="Ridha"/>
    <d v="1899-12-30T07:00:00"/>
    <n v="0"/>
  </r>
  <r>
    <s v="w44"/>
    <d v="2023-11-03T00:00:00"/>
    <s v="YURA CORPORATION TUNISIA"/>
    <n v="8744.9098799999992"/>
    <x v="3"/>
    <s v="Hbib"/>
    <d v="1899-12-30T06:15:00"/>
    <n v="10"/>
  </r>
  <r>
    <s v="w44"/>
    <d v="2023-11-03T00:00:00"/>
    <s v="COFAT TUNIS"/>
    <n v="1312.2126900000001"/>
    <x v="6"/>
    <s v="Houssem"/>
    <d v="1899-12-30T07:00:00"/>
    <n v="0"/>
  </r>
  <r>
    <s v="w44"/>
    <d v="2023-11-03T00:00:00"/>
    <s v="ELECTROCONTACT TUNISIE"/>
    <n v="7409.3741799999998"/>
    <x v="0"/>
    <s v="Bilel"/>
    <d v="1899-12-30T07:00:00"/>
    <n v="10"/>
  </r>
  <r>
    <s v="w44"/>
    <d v="2023-11-03T00:00:00"/>
    <s v="SCHULTE AUTOMOTIVE TUNIS"/>
    <n v="9988.1876699999993"/>
    <x v="2"/>
    <s v="Mehrez"/>
    <d v="1899-12-30T06:00:00"/>
    <n v="10"/>
  </r>
  <r>
    <s v="w44"/>
    <d v="2023-11-03T00:00:00"/>
    <s v="PERPLASTIC"/>
    <n v="3252.2"/>
    <x v="2"/>
    <s v="Mehrez"/>
    <d v="1899-12-30T11:30:00"/>
    <n v="5"/>
  </r>
  <r>
    <s v="w44"/>
    <d v="2023-11-03T00:00:00"/>
    <s v="SEWS TN"/>
    <n v="11841.94411"/>
    <x v="1"/>
    <s v="KARIM"/>
    <d v="1899-12-30T07:00:00"/>
    <n v="10"/>
  </r>
  <r>
    <s v="w44"/>
    <d v="2023-11-03T00:00:00"/>
    <s v="ADC"/>
    <n v="16951.997869999999"/>
    <x v="1"/>
    <s v="KARIM"/>
    <d v="1899-12-30T07:00:00"/>
    <n v="5"/>
  </r>
  <r>
    <s v="w44"/>
    <d v="2023-11-03T00:00:00"/>
    <s v="coficab med ==&gt; coficab tn"/>
    <n v="10003.200000000001"/>
    <x v="2"/>
    <s v="KARIM"/>
    <d v="1899-12-30T15:40:00"/>
    <n v="5"/>
  </r>
  <r>
    <s v="w44"/>
    <d v="2023-11-03T00:00:00"/>
    <s v="WeWire Hammamet Tunisia SARL"/>
    <n v="2923.6642700000002"/>
    <x v="6"/>
    <s v="Houssem"/>
    <d v="1899-12-30T09:00:00"/>
    <n v="5"/>
  </r>
  <r>
    <s v="w45"/>
    <d v="2023-11-06T00:00:00"/>
    <s v="Aptiv Services Tunisia SARL"/>
    <n v="9673.3660600000003"/>
    <x v="2"/>
    <s v="Mehrez"/>
    <d v="1899-12-30T06:00:00"/>
    <n v="5"/>
  </r>
  <r>
    <s v="w45"/>
    <d v="2023-11-06T00:00:00"/>
    <s v="TTE International"/>
    <n v="5443.9152899999999"/>
    <x v="3"/>
    <s v="Hbib"/>
    <d v="1899-12-30T18:00:00"/>
    <n v="5"/>
  </r>
  <r>
    <s v="w45"/>
    <d v="2023-11-06T00:00:00"/>
    <s v="Yazaki Automotive Products Tunisia"/>
    <n v="1032.9087500000001"/>
    <x v="3"/>
    <s v="Hbib"/>
    <d v="1899-12-30T18:00:00"/>
    <n v="0"/>
  </r>
  <r>
    <s v="w45"/>
    <d v="2023-11-06T00:00:00"/>
    <s v="COFAT TUNIS"/>
    <n v="5789.6613699999998"/>
    <x v="0"/>
    <s v="Bilel"/>
    <d v="1899-12-30T07:00:00"/>
    <n v="0"/>
  </r>
  <r>
    <s v="w45"/>
    <d v="2023-11-06T00:00:00"/>
    <s v="WeWire Nfidha"/>
    <n v="11892.2"/>
    <x v="0"/>
    <s v="Bilel"/>
    <d v="1899-12-30T11:15:00"/>
    <n v="10"/>
  </r>
  <r>
    <s v="w45"/>
    <d v="2023-11-06T00:00:00"/>
    <s v="LEONI Wiring Systems Tunisia NORD"/>
    <n v="4996.2657300000001"/>
    <x v="2"/>
    <s v="Mehrez"/>
    <d v="1899-12-30T12:00:00"/>
    <n v="5"/>
  </r>
  <r>
    <s v="w45"/>
    <d v="2023-11-06T00:00:00"/>
    <s v="COFAT MATEUR"/>
    <n v="76.732600000000005"/>
    <x v="2"/>
    <s v="Mehrez"/>
    <d v="1899-12-30T12:00:00"/>
    <n v="5"/>
  </r>
  <r>
    <s v="w45"/>
    <d v="2023-11-06T00:00:00"/>
    <s v="LEONI Wiring Systems Tunisia SUD"/>
    <n v="630.20000000000005"/>
    <x v="2"/>
    <s v="Mehrez"/>
    <d v="1899-12-30T12:00:00"/>
    <n v="0"/>
  </r>
  <r>
    <s v="w45"/>
    <d v="2023-11-06T00:00:00"/>
    <s v="SCHULTE AUTOMOTIVE TUN ZA"/>
    <n v="5022.5711799999999"/>
    <x v="4"/>
    <s v="Ridha"/>
    <d v="1899-12-30T19:20:00"/>
    <n v="5"/>
  </r>
  <r>
    <s v="w45"/>
    <d v="2023-11-06T00:00:00"/>
    <s v="WeWire Hammamet Tunisia SARL"/>
    <n v="15232.2"/>
    <x v="1"/>
    <s v="KARIM"/>
    <d v="1899-12-30T06:30:00"/>
    <n v="5"/>
  </r>
  <r>
    <s v="w45"/>
    <d v="2023-11-06T00:00:00"/>
    <s v="ELECTROCONTACT TUNISIE"/>
    <n v="16681.58495"/>
    <x v="1"/>
    <s v="KARIM"/>
    <d v="1899-12-30T13:00:00"/>
    <n v="10"/>
  </r>
  <r>
    <s v="w45"/>
    <d v="2023-11-06T00:00:00"/>
    <s v="Sceet"/>
    <n v="150.70609999999999"/>
    <x v="6"/>
    <s v="Houssem"/>
    <d v="1899-12-30T09:00:00"/>
    <n v="5"/>
  </r>
  <r>
    <s v="w45"/>
    <d v="2023-11-06T00:00:00"/>
    <s v="shulte bouarada"/>
    <n v="142.19999999999999"/>
    <x v="6"/>
    <s v="Houssem"/>
    <d v="1899-12-30T09:00:00"/>
    <n v="10"/>
  </r>
  <r>
    <s v="w45"/>
    <d v="2023-11-06T00:00:00"/>
    <s v="SEWS"/>
    <n v="5956.3450400000002"/>
    <x v="3"/>
    <s v="Hbib"/>
    <d v="1899-12-30T06:30:00"/>
    <n v="10"/>
  </r>
  <r>
    <s v="w45"/>
    <d v="2023-11-06T00:00:00"/>
    <s v="coficab med ==&gt; coficab tn"/>
    <n v="6492.7813900000001"/>
    <x v="6"/>
    <s v="Houssem"/>
    <d v="1899-12-30T14:30:00"/>
    <n v="5"/>
  </r>
  <r>
    <s v="w45"/>
    <d v="2023-11-07T00:00:00"/>
    <s v="SCHULTE AUTOMOTIVE TUNIS"/>
    <n v="7067.5250100000003"/>
    <x v="2"/>
    <s v="Mehrez"/>
    <d v="1899-12-30T06:40:00"/>
    <n v="10"/>
  </r>
  <r>
    <s v="w45"/>
    <d v="2023-11-07T00:00:00"/>
    <s v="WeWire Enfidha"/>
    <n v="3089.7105199999996"/>
    <x v="2"/>
    <s v="Mehrez"/>
    <d v="1899-12-30T15:45:00"/>
    <n v="10"/>
  </r>
  <r>
    <s v="w45"/>
    <d v="2023-11-07T00:00:00"/>
    <s v="COFAT TUNIS"/>
    <n v="14400.192659999999"/>
    <x v="4"/>
    <s v="Ridha"/>
    <d v="1899-12-30T07:00:00"/>
    <n v="0"/>
  </r>
  <r>
    <s v="w45"/>
    <d v="2023-11-07T00:00:00"/>
    <s v="Aptiv Services Tunisia SARL"/>
    <n v="4514.7401799999998"/>
    <x v="4"/>
    <s v="Ridha"/>
    <d v="1899-12-30T13:00:00"/>
    <n v="5"/>
  </r>
  <r>
    <s v="w45"/>
    <d v="2023-11-07T00:00:00"/>
    <s v="SEBN"/>
    <n v="612.53229999999996"/>
    <x v="3"/>
    <s v="Hbib"/>
    <d v="1899-12-30T16:10:00"/>
    <n v="10"/>
  </r>
  <r>
    <s v="w45"/>
    <d v="2023-11-07T00:00:00"/>
    <s v="KROSCHU"/>
    <n v="5091.2770499999997"/>
    <x v="3"/>
    <s v="Hbib"/>
    <d v="1899-12-30T16:10:00"/>
    <n v="5"/>
  </r>
  <r>
    <s v="w45"/>
    <d v="2023-11-07T00:00:00"/>
    <s v="YURA CORPORATION TUNISIA"/>
    <n v="11859.554770000001"/>
    <x v="1"/>
    <s v="KARIM"/>
    <d v="1899-12-30T08:50:00"/>
    <n v="10"/>
  </r>
  <r>
    <s v="w45"/>
    <d v="2023-11-07T00:00:00"/>
    <s v="MEDITERRANEAN ELECTRIC WIRING"/>
    <n v="5827.2085899999993"/>
    <x v="4"/>
    <s v="Ridha"/>
    <d v="1899-12-30T18:00:00"/>
    <n v="10"/>
  </r>
  <r>
    <s v="w45"/>
    <d v="2023-11-07T00:00:00"/>
    <s v="Reflexallen"/>
    <n v="473.50207999999998"/>
    <x v="6"/>
    <s v="Houssem"/>
    <d v="1899-12-30T10:00:00"/>
    <n v="5"/>
  </r>
  <r>
    <s v="w45"/>
    <d v="2023-11-07T00:00:00"/>
    <s v="SATS"/>
    <n v="1204.3296"/>
    <x v="6"/>
    <s v="Houssem"/>
    <d v="1899-12-30T10:00:00"/>
    <n v="10"/>
  </r>
  <r>
    <s v="w45"/>
    <d v="2023-11-07T00:00:00"/>
    <s v="COFAT MATEUR"/>
    <n v="7973.7663900000007"/>
    <x v="3"/>
    <s v="Hbib"/>
    <d v="1899-12-30T08:30:00"/>
    <n v="5"/>
  </r>
  <r>
    <s v="w45"/>
    <d v="2023-11-07T00:00:00"/>
    <s v="LEONI Wiring Systems Tunisia SUD"/>
    <n v="1165.1822"/>
    <x v="3"/>
    <s v="Hbib"/>
    <d v="1899-12-30T08:30:00"/>
    <n v="0"/>
  </r>
  <r>
    <s v="w45"/>
    <d v="2023-11-07T00:00:00"/>
    <s v="LEONI Wiring Systems Tunisia NORD"/>
    <n v="1874.3118099999999"/>
    <x v="3"/>
    <s v="Hbib"/>
    <d v="1899-12-30T08:30:00"/>
    <n v="0"/>
  </r>
  <r>
    <s v="w45"/>
    <d v="2023-11-07T00:00:00"/>
    <s v="ADC"/>
    <n v="15313.9568"/>
    <x v="0"/>
    <s v="Bilel"/>
    <d v="1899-12-30T09:00:00"/>
    <n v="10"/>
  </r>
  <r>
    <s v="w45"/>
    <d v="2023-11-07T00:00:00"/>
    <s v="Perplastic"/>
    <n v="3252.2"/>
    <x v="0"/>
    <s v="Bilel"/>
    <d v="1899-12-30T09:00:00"/>
    <n v="5"/>
  </r>
  <r>
    <s v="w45"/>
    <d v="2023-11-08T00:00:00"/>
    <s v="ADC"/>
    <n v="15625.2"/>
    <x v="1"/>
    <s v="KARIM"/>
    <d v="1899-12-30T08:00:00"/>
    <n v="10"/>
  </r>
  <r>
    <s v="w45"/>
    <d v="2023-11-08T00:00:00"/>
    <s v="METS MANUFAC ELECTRO.DE SOUSSE"/>
    <n v="4562.2"/>
    <x v="1"/>
    <s v="KARIM"/>
    <d v="1899-12-30T08:00:00"/>
    <n v="5"/>
  </r>
  <r>
    <s v="w45"/>
    <d v="2023-11-08T00:00:00"/>
    <s v="COFAT TUNIS"/>
    <n v="5813.65895"/>
    <x v="3"/>
    <s v="Hbib"/>
    <d v="1899-12-30T07:50:00"/>
    <n v="0"/>
  </r>
  <r>
    <s v="w45"/>
    <d v="2023-11-08T00:00:00"/>
    <s v="Perplastic"/>
    <n v="3215.2"/>
    <x v="3"/>
    <s v="Hbib"/>
    <d v="1899-12-30T09:00:00"/>
    <n v="5"/>
  </r>
  <r>
    <s v="w45"/>
    <d v="2023-11-08T00:00:00"/>
    <s v="SEWS TN"/>
    <n v="5655.4377199999999"/>
    <x v="3"/>
    <s v="Hbib"/>
    <d v="1899-12-30T11:00:00"/>
    <n v="10"/>
  </r>
  <r>
    <s v="w45"/>
    <d v="2023-11-08T00:00:00"/>
    <s v="adc sousse"/>
    <n v="4619.6479300000001"/>
    <x v="3"/>
    <s v="Hbib"/>
    <d v="1899-12-30T11:00:00"/>
    <n v="10"/>
  </r>
  <r>
    <s v="w45"/>
    <d v="2023-11-08T00:00:00"/>
    <s v="COFAT MATEUR"/>
    <n v="4526.7390400000004"/>
    <x v="2"/>
    <s v="Mehrez"/>
    <d v="1899-12-30T06:00:00"/>
    <n v="5"/>
  </r>
  <r>
    <s v="w45"/>
    <d v="2023-11-08T00:00:00"/>
    <s v="LEONI Wiring Systems Tunisia SUD"/>
    <n v="2009.2656899999999"/>
    <x v="2"/>
    <s v="Mehrez"/>
    <d v="1899-12-30T06:00:00"/>
    <n v="0"/>
  </r>
  <r>
    <s v="w45"/>
    <d v="2023-11-08T00:00:00"/>
    <s v="adc sousse"/>
    <n v="6582.2"/>
    <x v="2"/>
    <s v="Mehrez"/>
    <d v="1899-12-30T12:00:00"/>
    <n v="10"/>
  </r>
  <r>
    <s v="w45"/>
    <d v="2023-11-08T00:00:00"/>
    <s v="Schulte Bouarada"/>
    <n v="8956.2000000000007"/>
    <x v="0"/>
    <s v="Bilel"/>
    <d v="1899-12-30T07:00:00"/>
    <n v="10"/>
  </r>
  <r>
    <s v="w45"/>
    <d v="2023-11-08T00:00:00"/>
    <s v="ELECTROCONTACT TUNISIE"/>
    <n v="11777.18972"/>
    <x v="0"/>
    <s v="Bilel"/>
    <d v="1899-12-30T12:30:00"/>
    <n v="10"/>
  </r>
  <r>
    <s v="w45"/>
    <d v="2023-11-08T00:00:00"/>
    <s v="YAZAKI GAFSA"/>
    <n v="4525.25936"/>
    <x v="4"/>
    <s v="Ridha"/>
    <d v="1899-12-30T03:00:00"/>
    <n v="25"/>
  </r>
  <r>
    <s v="w45"/>
    <d v="2023-11-08T00:00:00"/>
    <s v="ICEM"/>
    <n v="311.66904"/>
    <x v="6"/>
    <s v="Houssem"/>
    <d v="1899-12-30T07:30:00"/>
    <n v="5"/>
  </r>
  <r>
    <s v="w45"/>
    <d v="2023-11-08T00:00:00"/>
    <s v="ACT"/>
    <n v="1217.4671699999999"/>
    <x v="6"/>
    <s v="Houssem"/>
    <d v="1899-12-30T07:30:00"/>
    <n v="5"/>
  </r>
  <r>
    <s v="w45"/>
    <d v="2023-11-08T00:00:00"/>
    <s v="coficab med ==&gt; coficab tn"/>
    <n v="10263.200000000001"/>
    <x v="1"/>
    <s v="KARIM"/>
    <d v="1899-12-30T08:00:00"/>
    <n v="5"/>
  </r>
  <r>
    <s v="w45"/>
    <d v="2023-11-08T00:00:00"/>
    <s v="SEBN  EL FaJJa"/>
    <n v="240.2"/>
    <x v="6"/>
    <s v="Houssem"/>
    <d v="1899-12-30T13:15:00"/>
    <n v="5"/>
  </r>
  <r>
    <s v="w45"/>
    <d v="2023-11-08T00:00:00"/>
    <s v="SEBN JENDOUBA "/>
    <n v="162.19999999999999"/>
    <x v="6"/>
    <s v="Houssem"/>
    <d v="1899-12-30T15:30:00"/>
    <n v="10"/>
  </r>
  <r>
    <s v="w45"/>
    <d v="2023-11-08T00:00:00"/>
    <s v="Kromberg &amp; Schubert  Tunisie SARL"/>
    <n v="1515.6374900000001"/>
    <x v="6"/>
    <s v="Houssem"/>
    <d v="1899-12-30T15:30:00"/>
    <n v="10"/>
  </r>
  <r>
    <s v="w45"/>
    <d v="2023-11-09T00:00:00"/>
    <s v="AMPHENOL TUNISIE"/>
    <n v="3884.6228799999999"/>
    <x v="2"/>
    <s v="Mehrez"/>
    <d v="2023-11-09T06:45:00"/>
    <n v="5"/>
  </r>
  <r>
    <s v="w45"/>
    <d v="2023-11-09T00:00:00"/>
    <s v="Aptiv Services Tunisia SARL"/>
    <n v="6903.07287"/>
    <x v="2"/>
    <s v="Mehrez"/>
    <d v="2023-11-09T06:45:00"/>
    <n v="5"/>
  </r>
  <r>
    <s v="w45"/>
    <d v="2023-11-09T00:00:00"/>
    <s v="COFAT TUNIS"/>
    <n v="6974.2386900000001"/>
    <x v="0"/>
    <s v="Bilel"/>
    <d v="1899-12-30T08:00:00"/>
    <n v="0"/>
  </r>
  <r>
    <s v="w45"/>
    <d v="2023-11-09T00:00:00"/>
    <s v="SCHULTE AUTOMOTIVE TUNISIA srl"/>
    <n v="1922"/>
    <x v="0"/>
    <s v="Bilel"/>
    <d v="1899-12-30T11:00:00"/>
    <n v="10"/>
  </r>
  <r>
    <s v="w45"/>
    <d v="2023-11-09T00:00:00"/>
    <s v="COFAT MATEUR"/>
    <n v="5350.1082500000002"/>
    <x v="4"/>
    <s v="Ridha"/>
    <d v="1899-12-30T07:15:00"/>
    <n v="5"/>
  </r>
  <r>
    <s v="w45"/>
    <d v="2023-11-09T00:00:00"/>
    <s v="LEONI Wiring Systems Tunisia SUD"/>
    <n v="2390.0920799999999"/>
    <x v="4"/>
    <s v="Ridha"/>
    <d v="1899-12-30T07:15:00"/>
    <n v="0"/>
  </r>
  <r>
    <s v="w45"/>
    <d v="2023-11-09T00:00:00"/>
    <s v="LEONI Wiring Systems Tunisia NORD"/>
    <n v="3961.01"/>
    <x v="4"/>
    <s v="Ridha"/>
    <d v="1899-12-30T07:15:00"/>
    <n v="0"/>
  </r>
  <r>
    <s v="w45"/>
    <d v="2023-11-09T00:00:00"/>
    <s v="YURA CORPORATION TUNISIA"/>
    <n v="10010.829470000001"/>
    <x v="1"/>
    <s v="KARIM"/>
    <d v="1899-12-30T08:00:00"/>
    <n v="10"/>
  </r>
  <r>
    <s v="w45"/>
    <d v="2023-11-09T00:00:00"/>
    <s v="ADC"/>
    <n v="4630.1267699999999"/>
    <x v="3"/>
    <s v="Hbib"/>
    <d v="1899-12-30T06:30:00"/>
    <n v="10"/>
  </r>
  <r>
    <s v="w45"/>
    <d v="2023-11-09T00:00:00"/>
    <s v="Perplastic"/>
    <n v="3200"/>
    <x v="3"/>
    <s v="Hbib"/>
    <d v="1899-12-30T06:30:00"/>
    <n v="5"/>
  </r>
  <r>
    <s v="w45"/>
    <d v="2023-11-09T00:00:00"/>
    <s v="coficab med ==&gt; coficab tn"/>
    <n v="8652.2000000000007"/>
    <x v="4"/>
    <s v="Ridha"/>
    <d v="1899-12-30T15:00:00"/>
    <n v="5"/>
  </r>
  <r>
    <s v="w45"/>
    <d v="2023-11-09T00:00:00"/>
    <s v="COFAT TUNIS"/>
    <n v="201.8"/>
    <x v="6"/>
    <s v="Houssem"/>
    <d v="1899-12-30T16:00:00"/>
    <n v="0"/>
  </r>
  <r>
    <s v="w45"/>
    <d v="2023-11-10T00:00:00"/>
    <s v="COFAT MATEUR"/>
    <n v="5778.4031099999993"/>
    <x v="4"/>
    <s v="Ridha"/>
    <d v="1899-12-30T07:20:00"/>
    <n v="5"/>
  </r>
  <r>
    <s v="w45"/>
    <d v="2023-11-10T00:00:00"/>
    <s v="LEONI Wiring Systems Tunisia SUD"/>
    <n v="2768.9153799999999"/>
    <x v="4"/>
    <s v="Ridha"/>
    <d v="1899-12-30T07:20:00"/>
    <n v="0"/>
  </r>
  <r>
    <s v="w45"/>
    <d v="2023-11-10T00:00:00"/>
    <s v="COFICAB MED"/>
    <n v="10325.200000000001"/>
    <x v="4"/>
    <s v="Ridha"/>
    <d v="1899-12-30T16:00:00"/>
    <n v="5"/>
  </r>
  <r>
    <s v="w45"/>
    <d v="2023-11-10T00:00:00"/>
    <s v="YURA CORPORATION TUNISIA"/>
    <n v="8717.6297799999993"/>
    <x v="3"/>
    <s v="Hbib"/>
    <d v="1899-12-30T08:10:00"/>
    <n v="10"/>
  </r>
  <r>
    <s v="w45"/>
    <d v="2023-11-10T00:00:00"/>
    <s v="COFAT TUNIS"/>
    <n v="7288.9597999999996"/>
    <x v="2"/>
    <s v="Mehrez"/>
    <d v="1899-12-30T08:30:00"/>
    <n v="0"/>
  </r>
  <r>
    <s v="w45"/>
    <d v="2023-11-10T00:00:00"/>
    <s v="Perplastic"/>
    <n v="3202.2"/>
    <x v="2"/>
    <s v="Mehrez"/>
    <d v="1899-12-30T09:00:00"/>
    <n v="5"/>
  </r>
  <r>
    <s v="w45"/>
    <d v="2023-11-10T00:00:00"/>
    <s v="COF MED"/>
    <n v="9982.2000000000007"/>
    <x v="2"/>
    <s v="Mehrez"/>
    <d v="1899-12-30T08:10:00"/>
    <n v="5"/>
  </r>
  <r>
    <s v="w45"/>
    <d v="2023-11-10T00:00:00"/>
    <s v="ELECTROCONTACT TUNISIE"/>
    <n v="940.70371"/>
    <x v="0"/>
    <s v="Bilel"/>
    <d v="1899-12-30T08:00:00"/>
    <n v="10"/>
  </r>
  <r>
    <s v="w45"/>
    <d v="2023-11-10T00:00:00"/>
    <s v="ADC"/>
    <n v="10230.200000000001"/>
    <x v="0"/>
    <s v="Bilel"/>
    <d v="1899-12-30T08:00:00"/>
    <n v="10"/>
  </r>
  <r>
    <s v="w45"/>
    <d v="2023-11-10T00:00:00"/>
    <s v="SEWS TN"/>
    <n v="11685.09751"/>
    <x v="1"/>
    <s v="KARIM"/>
    <d v="1899-12-30T08:30:00"/>
    <n v="10"/>
  </r>
  <r>
    <s v="w45"/>
    <d v="2023-11-10T00:00:00"/>
    <s v="ADC"/>
    <n v="10232.200000000001"/>
    <x v="1"/>
    <s v="KARIM"/>
    <d v="1899-12-30T08:30:00"/>
    <n v="5"/>
  </r>
  <r>
    <s v="w45"/>
    <d v="2023-11-10T00:00:00"/>
    <s v="WeWire Hammamet Tunisia SARL"/>
    <n v="2322.1999999999998"/>
    <x v="1"/>
    <s v="KARIM"/>
    <d v="1899-12-30T08:30:00"/>
    <n v="5"/>
  </r>
  <r>
    <s v="w45"/>
    <d v="2023-11-11T00:00:00"/>
    <s v="coficab med"/>
    <n v="3000"/>
    <x v="3"/>
    <s v="Hbib"/>
    <d v="1899-12-30T10:00:00"/>
    <n v="5"/>
  </r>
  <r>
    <s v="w45"/>
    <d v="2023-11-11T00:00:00"/>
    <s v="perPLASTIC"/>
    <n v="3652.2"/>
    <x v="3"/>
    <s v="Hbib"/>
    <d v="1899-12-30T09:00:00"/>
    <n v="5"/>
  </r>
  <r>
    <s v="w45"/>
    <d v="2023-11-11T00:00:00"/>
    <s v="adc sousse"/>
    <n v="22682.794299999998"/>
    <x v="1"/>
    <s v="KARIM"/>
    <d v="1899-12-30T08:30:00"/>
    <n v="10"/>
  </r>
  <r>
    <s v="w45"/>
    <d v="2023-11-11T00:00:00"/>
    <s v="COFAT MATEUR"/>
    <n v="4778.7809699999998"/>
    <x v="4"/>
    <s v="Ridha"/>
    <d v="1899-12-30T07:30:00"/>
    <n v="5"/>
  </r>
  <r>
    <s v="w46"/>
    <d v="2023-11-13T00:00:00"/>
    <s v="Aptiv Services Tunisia SARL"/>
    <n v="4399.4841799999995"/>
    <x v="0"/>
    <s v="Bilel"/>
    <d v="1899-12-30T07:45:00"/>
    <n v="5"/>
  </r>
  <r>
    <s v="w46"/>
    <d v="2023-11-13T00:00:00"/>
    <s v="TTE International"/>
    <n v="5474.7875899999999"/>
    <x v="0"/>
    <s v="Bilel"/>
    <d v="1899-12-30T11:30:00"/>
    <n v="5"/>
  </r>
  <r>
    <s v="w46"/>
    <d v="2023-11-13T00:00:00"/>
    <s v="Yazaki Automotive Products Tunisia"/>
    <n v="3576.9126200000001"/>
    <x v="0"/>
    <s v="Bilel"/>
    <d v="1899-12-30T11:30:00"/>
    <n v="5"/>
  </r>
  <r>
    <s v="w46"/>
    <d v="2023-11-13T00:00:00"/>
    <s v="COFAT MATEUR"/>
    <n v="229.69164000000001"/>
    <x v="3"/>
    <s v="Hbib"/>
    <d v="1899-12-30T07:00:00"/>
    <n v="5"/>
  </r>
  <r>
    <s v="w46"/>
    <d v="2023-11-13T00:00:00"/>
    <s v="LEONI Wiring Systems Tunisia SUD"/>
    <n v="6458.2"/>
    <x v="3"/>
    <s v="Hbib"/>
    <d v="1899-12-30T07:00:00"/>
    <n v="0"/>
  </r>
  <r>
    <s v="w46"/>
    <d v="2023-11-13T00:00:00"/>
    <s v="Schulte zaghouen"/>
    <n v="4328.027"/>
    <x v="3"/>
    <s v="Hbib"/>
    <d v="1899-12-30T16:00:00"/>
    <n v="5"/>
  </r>
  <r>
    <s v="w46"/>
    <d v="2023-11-13T00:00:00"/>
    <s v="WeWire Hammamet Tunisia SARL"/>
    <n v="23875.05456"/>
    <x v="1"/>
    <s v="KARIM"/>
    <d v="1899-12-30T06:02:00"/>
    <n v="5"/>
  </r>
  <r>
    <s v="w46"/>
    <d v="2023-11-13T00:00:00"/>
    <s v="ELECTROCONTACT TUNISIE"/>
    <n v="24294.865860000002"/>
    <x v="1"/>
    <s v="KARIM"/>
    <d v="1899-12-30T13:00:00"/>
    <n v="10"/>
  </r>
  <r>
    <s v="w46"/>
    <d v="2023-11-13T00:00:00"/>
    <s v="SEWS"/>
    <n v="3390.1874800000001"/>
    <x v="4"/>
    <s v="Ridha"/>
    <d v="1899-12-30T07:00:00"/>
    <n v="10"/>
  </r>
  <r>
    <s v="w46"/>
    <d v="2023-11-13T00:00:00"/>
    <s v="ADC"/>
    <n v="5623.2"/>
    <x v="4"/>
    <s v="Ridha"/>
    <d v="1899-12-30T07:00:00"/>
    <n v="5"/>
  </r>
  <r>
    <s v="w46"/>
    <d v="2023-11-13T00:00:00"/>
    <s v="COFAT TUNIS"/>
    <n v="3972.3347399999998"/>
    <x v="6"/>
    <s v="Houssem"/>
    <d v="1899-12-30T08:00:00"/>
    <n v="0"/>
  </r>
  <r>
    <s v="w46"/>
    <d v="2023-11-13T00:00:00"/>
    <s v="cof med gafsa"/>
    <n v="1232.2"/>
    <x v="6"/>
    <s v="Houssem"/>
    <d v="1899-12-30T10:30:00"/>
    <n v="5"/>
  </r>
  <r>
    <s v="w46"/>
    <d v="2023-11-13T00:00:00"/>
    <s v="coficab med ==&gt; coficab tn"/>
    <n v="1100.2"/>
    <x v="6"/>
    <s v="Houssem"/>
    <d v="1899-12-30T10:30: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AEE09-4A93-4565-84DF-791E6EB76B5F}" name="Tableau croisé dynamique1" cacheId="3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2" firstHeaderRow="1" firstDataRow="1" firstDataCol="1"/>
  <pivotFields count="8">
    <pivotField showAll="0"/>
    <pivotField numFmtId="14" showAll="0"/>
    <pivotField showAll="0"/>
    <pivotField showAll="0"/>
    <pivotField axis="axisRow" showAll="0">
      <items count="10">
        <item x="2"/>
        <item x="0"/>
        <item x="3"/>
        <item x="6"/>
        <item m="1" x="8"/>
        <item x="4"/>
        <item x="1"/>
        <item x="5"/>
        <item x="7"/>
        <item t="default"/>
      </items>
    </pivotField>
    <pivotField showAll="0"/>
    <pivotField showAll="0"/>
    <pivotField dataField="1" showAll="0"/>
  </pivotFields>
  <rowFields count="1">
    <field x="4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me de deplacement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"/>
  <sheetViews>
    <sheetView tabSelected="1" topLeftCell="A90" zoomScale="90" zoomScaleNormal="90" workbookViewId="0">
      <selection activeCell="G101" sqref="G101"/>
    </sheetView>
  </sheetViews>
  <sheetFormatPr baseColWidth="10" defaultColWidth="11.42578125" defaultRowHeight="15" x14ac:dyDescent="0.25"/>
  <cols>
    <col min="1" max="1" width="12.5703125" style="1" bestFit="1" customWidth="1"/>
    <col min="2" max="2" width="3.85546875" style="1" bestFit="1" customWidth="1"/>
    <col min="3" max="3" width="34.140625" bestFit="1" customWidth="1"/>
    <col min="4" max="4" width="6" bestFit="1" customWidth="1"/>
    <col min="5" max="5" width="12.5703125" style="18" bestFit="1" customWidth="1"/>
    <col min="6" max="6" width="15.7109375" customWidth="1"/>
    <col min="7" max="7" width="44.7109375" customWidth="1"/>
    <col min="8" max="8" width="10.85546875" customWidth="1"/>
    <col min="9" max="9" width="17.5703125" hidden="1" customWidth="1"/>
    <col min="10" max="10" width="8.28515625" bestFit="1" customWidth="1"/>
    <col min="11" max="11" width="13.28515625" style="19" bestFit="1" customWidth="1"/>
    <col min="12" max="12" width="13.140625" bestFit="1" customWidth="1"/>
    <col min="13" max="13" width="18.28515625" bestFit="1" customWidth="1"/>
  </cols>
  <sheetData>
    <row r="1" spans="1:14" ht="18.75" x14ac:dyDescent="0.25">
      <c r="A1" s="46" t="s">
        <v>97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  <c r="N1" s="19"/>
    </row>
    <row r="2" spans="1:14" x14ac:dyDescent="0.25">
      <c r="A2" s="49" t="s">
        <v>148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1"/>
    </row>
    <row r="3" spans="1:14" x14ac:dyDescent="0.25">
      <c r="A3" s="22" t="s">
        <v>29</v>
      </c>
      <c r="B3" s="3" t="s">
        <v>87</v>
      </c>
      <c r="C3" s="4" t="s">
        <v>105</v>
      </c>
      <c r="D3" s="4" t="s">
        <v>106</v>
      </c>
      <c r="E3" s="4" t="s">
        <v>137</v>
      </c>
      <c r="F3" s="4" t="s">
        <v>133</v>
      </c>
      <c r="G3" s="4" t="s">
        <v>138</v>
      </c>
      <c r="H3" s="4" t="s">
        <v>141</v>
      </c>
      <c r="I3" s="3" t="s">
        <v>131</v>
      </c>
      <c r="J3" s="3" t="s">
        <v>136</v>
      </c>
      <c r="K3" s="3" t="s">
        <v>134</v>
      </c>
      <c r="L3" s="3" t="s">
        <v>132</v>
      </c>
      <c r="M3" s="23" t="s">
        <v>135</v>
      </c>
    </row>
    <row r="4" spans="1:14" x14ac:dyDescent="0.25">
      <c r="A4" s="53" t="s">
        <v>100</v>
      </c>
      <c r="B4" s="21">
        <v>1</v>
      </c>
      <c r="C4" s="5" t="s">
        <v>80</v>
      </c>
      <c r="D4" s="6">
        <v>0.25</v>
      </c>
      <c r="E4" s="13">
        <v>24</v>
      </c>
      <c r="F4" s="41" t="s">
        <v>32</v>
      </c>
      <c r="G4" s="5"/>
      <c r="H4" s="5"/>
      <c r="I4" s="5"/>
      <c r="J4" s="7"/>
      <c r="K4" s="5"/>
      <c r="L4" s="5">
        <v>23000</v>
      </c>
      <c r="M4" s="24"/>
    </row>
    <row r="5" spans="1:14" x14ac:dyDescent="0.25">
      <c r="A5" s="55"/>
      <c r="B5" s="21">
        <v>2</v>
      </c>
      <c r="C5" s="17" t="s">
        <v>86</v>
      </c>
      <c r="D5" s="30"/>
      <c r="E5" s="17">
        <v>7</v>
      </c>
      <c r="F5" s="17"/>
      <c r="G5" s="45" t="s">
        <v>147</v>
      </c>
      <c r="H5" s="5"/>
      <c r="I5" s="5"/>
      <c r="J5" s="7"/>
      <c r="K5" s="5"/>
      <c r="L5" s="5"/>
      <c r="M5" s="24"/>
    </row>
    <row r="6" spans="1:14" x14ac:dyDescent="0.25">
      <c r="A6" s="55"/>
      <c r="B6" s="21">
        <v>3</v>
      </c>
      <c r="C6" s="5" t="s">
        <v>0</v>
      </c>
      <c r="D6" s="6">
        <v>0.33333333333333298</v>
      </c>
      <c r="E6" s="13">
        <v>7</v>
      </c>
      <c r="F6" s="5" t="s">
        <v>32</v>
      </c>
      <c r="G6" s="5"/>
      <c r="H6" s="5"/>
      <c r="I6" s="5"/>
      <c r="J6" s="7"/>
      <c r="K6" s="5"/>
      <c r="L6" s="5"/>
      <c r="M6" s="24"/>
    </row>
    <row r="7" spans="1:14" x14ac:dyDescent="0.25">
      <c r="A7" s="55"/>
      <c r="B7" s="21">
        <v>4</v>
      </c>
      <c r="C7" s="5" t="s">
        <v>50</v>
      </c>
      <c r="D7" s="6">
        <v>0.41666666666666702</v>
      </c>
      <c r="E7" s="13">
        <v>1</v>
      </c>
      <c r="F7" s="5" t="s">
        <v>32</v>
      </c>
      <c r="G7" s="5"/>
      <c r="H7" s="5"/>
      <c r="I7" s="5"/>
      <c r="J7" s="7"/>
      <c r="K7" s="5"/>
      <c r="L7" s="5"/>
      <c r="M7" s="24"/>
    </row>
    <row r="8" spans="1:14" x14ac:dyDescent="0.25">
      <c r="A8" s="55"/>
      <c r="B8" s="21">
        <v>5</v>
      </c>
      <c r="C8" s="5" t="s">
        <v>67</v>
      </c>
      <c r="D8" s="6">
        <v>0.33333333333333298</v>
      </c>
      <c r="E8" s="13">
        <v>3</v>
      </c>
      <c r="F8" s="5" t="s">
        <v>32</v>
      </c>
      <c r="G8" s="16" t="s">
        <v>146</v>
      </c>
      <c r="H8" s="5"/>
      <c r="I8" s="16"/>
      <c r="J8" s="29"/>
      <c r="K8" s="8"/>
      <c r="L8" s="8">
        <v>6200</v>
      </c>
      <c r="M8" s="36"/>
    </row>
    <row r="9" spans="1:14" x14ac:dyDescent="0.25">
      <c r="A9" s="55"/>
      <c r="B9" s="21">
        <v>6</v>
      </c>
      <c r="C9" s="5" t="s">
        <v>9</v>
      </c>
      <c r="D9" s="6">
        <v>0.41666666666666702</v>
      </c>
      <c r="E9" s="13">
        <v>10</v>
      </c>
      <c r="F9" s="5" t="s">
        <v>32</v>
      </c>
      <c r="G9" s="5"/>
      <c r="H9" s="5"/>
      <c r="I9" s="5"/>
      <c r="J9" s="7"/>
      <c r="K9" s="5"/>
      <c r="L9" s="5">
        <v>6690</v>
      </c>
      <c r="M9" s="24"/>
    </row>
    <row r="10" spans="1:14" x14ac:dyDescent="0.25">
      <c r="A10" s="55"/>
      <c r="B10" s="21">
        <v>7</v>
      </c>
      <c r="C10" s="5" t="s">
        <v>1</v>
      </c>
      <c r="D10" s="6">
        <v>0.375</v>
      </c>
      <c r="E10" s="13">
        <v>5</v>
      </c>
      <c r="F10" s="5" t="s">
        <v>32</v>
      </c>
      <c r="G10" s="5"/>
      <c r="H10" s="5"/>
      <c r="I10" s="5"/>
      <c r="J10" s="7"/>
      <c r="K10" s="5"/>
      <c r="L10" s="5">
        <v>2100</v>
      </c>
      <c r="M10" s="24"/>
    </row>
    <row r="11" spans="1:14" x14ac:dyDescent="0.25">
      <c r="A11" s="55"/>
      <c r="B11" s="21">
        <v>8</v>
      </c>
      <c r="C11" s="5" t="s">
        <v>86</v>
      </c>
      <c r="D11" s="6"/>
      <c r="E11" s="13">
        <v>4</v>
      </c>
      <c r="F11" s="5" t="s">
        <v>32</v>
      </c>
      <c r="G11" s="5"/>
      <c r="H11" s="5"/>
      <c r="I11" s="5"/>
      <c r="J11" s="7"/>
      <c r="K11" s="5"/>
      <c r="L11" s="5">
        <v>2100</v>
      </c>
      <c r="M11" s="24"/>
    </row>
    <row r="12" spans="1:14" x14ac:dyDescent="0.25">
      <c r="A12" s="55"/>
      <c r="B12" s="21">
        <v>9</v>
      </c>
      <c r="C12" s="8" t="s">
        <v>10</v>
      </c>
      <c r="D12" s="6">
        <v>0.25</v>
      </c>
      <c r="E12" s="35">
        <v>27</v>
      </c>
      <c r="F12" s="5" t="s">
        <v>32</v>
      </c>
      <c r="G12" s="5"/>
      <c r="H12" s="5"/>
      <c r="I12" s="5"/>
      <c r="J12" s="7"/>
      <c r="K12" s="5"/>
      <c r="L12" s="5">
        <v>22303</v>
      </c>
      <c r="M12" s="24"/>
    </row>
    <row r="13" spans="1:14" x14ac:dyDescent="0.25">
      <c r="A13" s="55"/>
      <c r="B13" s="21">
        <v>10</v>
      </c>
      <c r="C13" s="5" t="s">
        <v>57</v>
      </c>
      <c r="D13" s="6">
        <v>0.29166666666666702</v>
      </c>
      <c r="E13" s="13">
        <v>8</v>
      </c>
      <c r="F13" s="5" t="s">
        <v>32</v>
      </c>
      <c r="G13" s="5"/>
      <c r="H13" s="5"/>
      <c r="I13" s="5"/>
      <c r="J13" s="7"/>
      <c r="K13" s="5"/>
      <c r="L13" s="5">
        <v>936</v>
      </c>
      <c r="M13" s="24"/>
    </row>
    <row r="14" spans="1:14" x14ac:dyDescent="0.25">
      <c r="A14" s="55"/>
      <c r="B14" s="21">
        <v>11</v>
      </c>
      <c r="C14" s="5" t="s">
        <v>68</v>
      </c>
      <c r="D14" s="6">
        <v>0.29166666666666702</v>
      </c>
      <c r="E14" s="13">
        <v>13</v>
      </c>
      <c r="F14" s="5" t="s">
        <v>32</v>
      </c>
      <c r="G14" s="5"/>
      <c r="H14" s="5"/>
      <c r="I14" s="5"/>
      <c r="J14" s="7"/>
      <c r="K14" s="5"/>
      <c r="L14" s="5">
        <v>7100</v>
      </c>
      <c r="M14" s="24"/>
    </row>
    <row r="15" spans="1:14" x14ac:dyDescent="0.25">
      <c r="A15" s="55"/>
      <c r="B15" s="21">
        <v>12</v>
      </c>
      <c r="C15" s="5" t="s">
        <v>82</v>
      </c>
      <c r="D15" s="6">
        <v>0.41666666666666702</v>
      </c>
      <c r="E15" s="13">
        <v>9</v>
      </c>
      <c r="F15" s="5" t="s">
        <v>32</v>
      </c>
      <c r="G15" s="16"/>
      <c r="H15" s="5"/>
      <c r="I15" s="5"/>
      <c r="J15" s="7"/>
      <c r="K15" s="5"/>
      <c r="L15" s="5">
        <v>4200</v>
      </c>
      <c r="M15" s="24"/>
    </row>
    <row r="16" spans="1:14" x14ac:dyDescent="0.25">
      <c r="A16" s="55"/>
      <c r="B16" s="21">
        <v>13</v>
      </c>
      <c r="C16" s="5" t="s">
        <v>7</v>
      </c>
      <c r="D16" s="6">
        <v>0.41666666666666702</v>
      </c>
      <c r="E16" s="13">
        <v>5</v>
      </c>
      <c r="F16" s="5" t="s">
        <v>32</v>
      </c>
      <c r="H16" s="5"/>
      <c r="I16" s="5"/>
      <c r="J16" s="7"/>
      <c r="K16" s="5"/>
      <c r="L16" s="5"/>
      <c r="M16" s="24"/>
    </row>
    <row r="17" spans="1:13" x14ac:dyDescent="0.25">
      <c r="A17" s="55"/>
      <c r="B17" s="21">
        <v>14</v>
      </c>
      <c r="C17" s="5" t="s">
        <v>37</v>
      </c>
      <c r="D17" s="6">
        <v>0.29166666666666702</v>
      </c>
      <c r="E17" s="13">
        <v>16</v>
      </c>
      <c r="F17" s="5" t="s">
        <v>32</v>
      </c>
      <c r="G17" s="5"/>
      <c r="H17" s="5"/>
      <c r="I17" s="5"/>
      <c r="J17" s="7"/>
      <c r="K17" s="5"/>
      <c r="L17" s="5">
        <v>6500</v>
      </c>
      <c r="M17" s="24"/>
    </row>
    <row r="18" spans="1:13" x14ac:dyDescent="0.25">
      <c r="A18" s="55"/>
      <c r="B18" s="21">
        <v>15</v>
      </c>
      <c r="C18" s="5" t="s">
        <v>5</v>
      </c>
      <c r="D18" s="6">
        <v>0.29166666666666702</v>
      </c>
      <c r="E18" s="13">
        <v>1</v>
      </c>
      <c r="F18" s="5"/>
      <c r="H18" s="5"/>
      <c r="I18" s="5"/>
      <c r="J18" s="7"/>
      <c r="K18" s="5"/>
      <c r="L18" s="5"/>
      <c r="M18" s="24"/>
    </row>
    <row r="19" spans="1:13" x14ac:dyDescent="0.25">
      <c r="A19" s="56"/>
      <c r="B19" s="21">
        <v>16</v>
      </c>
      <c r="C19" s="17" t="s">
        <v>99</v>
      </c>
      <c r="D19" s="30">
        <v>0.29166666666666702</v>
      </c>
      <c r="E19" s="17">
        <v>5</v>
      </c>
      <c r="F19" s="5"/>
      <c r="G19" s="17"/>
      <c r="H19" s="8"/>
      <c r="I19" s="5"/>
      <c r="J19" s="7"/>
      <c r="K19" s="5"/>
      <c r="L19" s="5"/>
      <c r="M19" s="24"/>
    </row>
    <row r="20" spans="1:13" x14ac:dyDescent="0.25">
      <c r="A20" s="55" t="s">
        <v>101</v>
      </c>
      <c r="B20" s="21">
        <v>1</v>
      </c>
      <c r="C20" s="16" t="s">
        <v>77</v>
      </c>
      <c r="D20" s="38">
        <v>0.33333333333333298</v>
      </c>
      <c r="E20" s="17">
        <v>1</v>
      </c>
      <c r="F20" s="16"/>
      <c r="G20" s="16"/>
      <c r="H20" s="5"/>
      <c r="I20" s="5"/>
      <c r="J20" s="7"/>
      <c r="K20" s="5"/>
      <c r="L20" s="5"/>
      <c r="M20" s="24"/>
    </row>
    <row r="21" spans="1:13" x14ac:dyDescent="0.25">
      <c r="A21" s="55"/>
      <c r="B21" s="21">
        <v>2</v>
      </c>
      <c r="C21" s="5" t="s">
        <v>68</v>
      </c>
      <c r="D21" s="6">
        <v>0.29166666666666702</v>
      </c>
      <c r="E21" s="13">
        <v>8</v>
      </c>
      <c r="F21" s="5" t="s">
        <v>32</v>
      </c>
      <c r="G21" s="5"/>
      <c r="H21" s="5"/>
      <c r="I21" s="5"/>
      <c r="J21" s="7"/>
      <c r="K21" s="5"/>
      <c r="L21" s="5">
        <v>12657.77</v>
      </c>
      <c r="M21" s="24"/>
    </row>
    <row r="22" spans="1:13" x14ac:dyDescent="0.25">
      <c r="A22" s="55"/>
      <c r="B22" s="21">
        <v>3</v>
      </c>
      <c r="C22" s="5" t="s">
        <v>74</v>
      </c>
      <c r="D22" s="6">
        <v>0.375</v>
      </c>
      <c r="E22" s="13">
        <v>16</v>
      </c>
      <c r="F22" s="5" t="s">
        <v>32</v>
      </c>
      <c r="G22" s="16"/>
      <c r="H22" s="5"/>
      <c r="I22" s="5"/>
      <c r="J22" s="7"/>
      <c r="K22" s="5"/>
      <c r="L22" s="5">
        <v>0</v>
      </c>
      <c r="M22" s="24"/>
    </row>
    <row r="23" spans="1:13" x14ac:dyDescent="0.25">
      <c r="A23" s="55"/>
      <c r="B23" s="21">
        <v>4</v>
      </c>
      <c r="C23" s="5" t="s">
        <v>37</v>
      </c>
      <c r="D23" s="6">
        <v>0.29166666666666702</v>
      </c>
      <c r="E23" s="13">
        <v>11</v>
      </c>
      <c r="G23" s="17"/>
      <c r="H23" s="5"/>
      <c r="I23" s="5"/>
      <c r="J23" s="7"/>
      <c r="K23" s="5"/>
      <c r="L23" s="5">
        <v>9000</v>
      </c>
      <c r="M23" s="24"/>
    </row>
    <row r="24" spans="1:13" x14ac:dyDescent="0.25">
      <c r="A24" s="55"/>
      <c r="B24" s="21">
        <v>5</v>
      </c>
      <c r="C24" s="8" t="s">
        <v>0</v>
      </c>
      <c r="D24" s="6">
        <v>0.29166666666666702</v>
      </c>
      <c r="E24" s="35">
        <v>13</v>
      </c>
      <c r="F24" s="5" t="s">
        <v>32</v>
      </c>
      <c r="G24" s="17" t="s">
        <v>144</v>
      </c>
      <c r="H24" s="5"/>
      <c r="I24" s="5"/>
      <c r="J24" s="7"/>
      <c r="K24" s="5"/>
      <c r="L24" s="5">
        <v>12000</v>
      </c>
      <c r="M24" s="24"/>
    </row>
    <row r="25" spans="1:13" x14ac:dyDescent="0.25">
      <c r="A25" s="55"/>
      <c r="B25" s="21">
        <v>6</v>
      </c>
      <c r="C25" s="17" t="s">
        <v>140</v>
      </c>
      <c r="D25" s="30">
        <v>0.29166666666666702</v>
      </c>
      <c r="E25" s="17">
        <v>2</v>
      </c>
      <c r="F25" s="17" t="s">
        <v>32</v>
      </c>
      <c r="G25" s="17"/>
      <c r="H25" s="17"/>
      <c r="I25" s="17"/>
      <c r="J25" s="20"/>
      <c r="K25" s="17"/>
      <c r="L25" s="17"/>
      <c r="M25" s="36"/>
    </row>
    <row r="26" spans="1:13" x14ac:dyDescent="0.25">
      <c r="A26" s="55"/>
      <c r="B26" s="21">
        <v>7</v>
      </c>
      <c r="C26" s="5" t="s">
        <v>16</v>
      </c>
      <c r="D26" s="6">
        <v>0.20833333333333301</v>
      </c>
      <c r="E26" s="13">
        <v>15</v>
      </c>
      <c r="F26" s="5" t="s">
        <v>32</v>
      </c>
      <c r="G26" s="5"/>
      <c r="H26" s="5"/>
      <c r="I26" s="5"/>
      <c r="J26" s="7"/>
      <c r="K26" s="5"/>
      <c r="L26" s="5">
        <v>11000</v>
      </c>
      <c r="M26" s="24"/>
    </row>
    <row r="27" spans="1:13" x14ac:dyDescent="0.25">
      <c r="A27" s="55"/>
      <c r="B27" s="21">
        <v>8</v>
      </c>
      <c r="C27" s="5" t="s">
        <v>59</v>
      </c>
      <c r="D27" s="6"/>
      <c r="E27" s="13">
        <v>31</v>
      </c>
      <c r="F27" s="5"/>
      <c r="G27" s="5" t="s">
        <v>149</v>
      </c>
      <c r="H27" s="8"/>
      <c r="I27" s="5"/>
      <c r="J27" s="7"/>
      <c r="K27" s="5"/>
      <c r="L27" s="5">
        <v>13.222</v>
      </c>
      <c r="M27" s="24"/>
    </row>
    <row r="28" spans="1:13" x14ac:dyDescent="0.25">
      <c r="A28" s="55"/>
      <c r="B28" s="21">
        <v>9</v>
      </c>
      <c r="C28" s="5" t="s">
        <v>80</v>
      </c>
      <c r="D28" s="6">
        <v>0.5</v>
      </c>
      <c r="E28" s="13">
        <v>10</v>
      </c>
      <c r="F28" s="5" t="s">
        <v>32</v>
      </c>
      <c r="G28" s="16"/>
      <c r="H28" s="8"/>
      <c r="I28" s="5"/>
      <c r="J28" s="7"/>
      <c r="K28" s="5"/>
      <c r="L28" s="5">
        <v>11000</v>
      </c>
      <c r="M28" s="24"/>
    </row>
    <row r="29" spans="1:13" x14ac:dyDescent="0.25">
      <c r="A29" s="55"/>
      <c r="B29" s="21">
        <v>10</v>
      </c>
      <c r="C29" s="5" t="s">
        <v>93</v>
      </c>
      <c r="D29" s="6">
        <v>0.29166666666666702</v>
      </c>
      <c r="E29" s="13">
        <v>9</v>
      </c>
      <c r="F29" s="5"/>
      <c r="G29" s="16"/>
      <c r="H29" s="8"/>
      <c r="I29" s="5"/>
      <c r="J29" s="7"/>
      <c r="K29" s="5"/>
      <c r="L29" s="5">
        <v>8315</v>
      </c>
      <c r="M29" s="24"/>
    </row>
    <row r="30" spans="1:13" x14ac:dyDescent="0.25">
      <c r="A30" s="55"/>
      <c r="B30" s="21">
        <v>11</v>
      </c>
      <c r="C30" s="5" t="s">
        <v>7</v>
      </c>
      <c r="D30" s="6">
        <v>0.25</v>
      </c>
      <c r="E30" s="13">
        <v>22</v>
      </c>
      <c r="F30" s="5" t="s">
        <v>32</v>
      </c>
      <c r="G30" s="5"/>
      <c r="H30" s="8"/>
      <c r="I30" s="5"/>
      <c r="J30" s="7"/>
      <c r="K30" s="5"/>
      <c r="L30" s="5">
        <v>15000</v>
      </c>
      <c r="M30" s="24"/>
    </row>
    <row r="31" spans="1:13" x14ac:dyDescent="0.25">
      <c r="A31" s="55"/>
      <c r="B31" s="21">
        <v>12</v>
      </c>
      <c r="C31" s="8" t="s">
        <v>10</v>
      </c>
      <c r="D31" s="10">
        <v>0.29166666666666702</v>
      </c>
      <c r="E31" s="35">
        <v>15</v>
      </c>
      <c r="F31" s="5"/>
      <c r="G31" s="17"/>
      <c r="H31" s="5"/>
      <c r="I31" s="5"/>
      <c r="J31" s="7"/>
      <c r="K31" s="5"/>
      <c r="L31" s="5">
        <v>6486</v>
      </c>
      <c r="M31" s="24"/>
    </row>
    <row r="32" spans="1:13" x14ac:dyDescent="0.25">
      <c r="A32" s="55"/>
      <c r="B32" s="21">
        <v>13</v>
      </c>
      <c r="C32" s="8" t="s">
        <v>1</v>
      </c>
      <c r="D32" s="10">
        <v>0.29166666666666702</v>
      </c>
      <c r="E32" s="35">
        <v>9</v>
      </c>
      <c r="F32" s="5" t="s">
        <v>32</v>
      </c>
      <c r="G32" s="17"/>
      <c r="H32" s="5"/>
      <c r="I32" s="5"/>
      <c r="J32" s="7"/>
      <c r="K32" s="5"/>
      <c r="L32" s="5">
        <v>6000</v>
      </c>
      <c r="M32" s="24"/>
    </row>
    <row r="33" spans="1:13" x14ac:dyDescent="0.25">
      <c r="A33" s="55"/>
      <c r="B33" s="21">
        <v>14</v>
      </c>
      <c r="C33" s="5" t="s">
        <v>13</v>
      </c>
      <c r="D33" s="6">
        <v>0.29166666666666702</v>
      </c>
      <c r="E33" s="13">
        <v>1</v>
      </c>
      <c r="F33" s="5" t="s">
        <v>32</v>
      </c>
      <c r="G33" s="5"/>
      <c r="H33" s="5"/>
      <c r="I33" s="5"/>
      <c r="J33" s="5"/>
      <c r="K33" s="5"/>
      <c r="L33" s="5">
        <v>1000</v>
      </c>
      <c r="M33" s="24"/>
    </row>
    <row r="34" spans="1:13" x14ac:dyDescent="0.25">
      <c r="A34" s="55"/>
      <c r="B34" s="21">
        <v>15</v>
      </c>
      <c r="C34" s="5" t="s">
        <v>143</v>
      </c>
      <c r="D34" s="6">
        <v>0.29166666666666702</v>
      </c>
      <c r="E34" s="13">
        <v>2</v>
      </c>
      <c r="F34" s="5" t="s">
        <v>32</v>
      </c>
      <c r="H34" s="5"/>
      <c r="I34" s="5"/>
      <c r="J34" s="7"/>
      <c r="K34" s="5"/>
      <c r="L34" s="5">
        <v>1100</v>
      </c>
      <c r="M34" s="24"/>
    </row>
    <row r="35" spans="1:13" x14ac:dyDescent="0.25">
      <c r="A35" s="55"/>
      <c r="B35" s="21">
        <v>16</v>
      </c>
      <c r="C35" s="5" t="s">
        <v>75</v>
      </c>
      <c r="D35" s="6">
        <v>0.25</v>
      </c>
      <c r="E35" s="13">
        <v>7</v>
      </c>
      <c r="F35" s="5"/>
      <c r="G35" s="5"/>
      <c r="H35" s="5"/>
      <c r="I35" s="5"/>
      <c r="J35" s="7"/>
      <c r="K35" s="5"/>
      <c r="L35" s="5"/>
      <c r="M35" s="24"/>
    </row>
    <row r="36" spans="1:13" x14ac:dyDescent="0.25">
      <c r="A36" s="55"/>
      <c r="B36" s="21">
        <v>17</v>
      </c>
      <c r="C36" s="5" t="s">
        <v>3</v>
      </c>
      <c r="D36" s="6">
        <v>0.41666666666666702</v>
      </c>
      <c r="E36" s="13">
        <v>5</v>
      </c>
      <c r="F36" s="5" t="s">
        <v>32</v>
      </c>
      <c r="G36" s="16"/>
      <c r="H36" s="5"/>
      <c r="I36" s="5"/>
      <c r="J36" s="7"/>
      <c r="K36" s="5"/>
      <c r="L36" s="5"/>
      <c r="M36" s="24"/>
    </row>
    <row r="37" spans="1:13" x14ac:dyDescent="0.25">
      <c r="A37" s="55"/>
      <c r="B37" s="21">
        <v>18</v>
      </c>
      <c r="C37" s="5" t="s">
        <v>86</v>
      </c>
      <c r="D37" s="13"/>
      <c r="E37" s="13">
        <v>9</v>
      </c>
      <c r="F37" s="13"/>
      <c r="G37" t="s">
        <v>150</v>
      </c>
      <c r="H37" s="8"/>
      <c r="I37" s="13"/>
      <c r="J37" s="7"/>
      <c r="K37" s="5"/>
      <c r="L37" s="5"/>
      <c r="M37" s="24"/>
    </row>
    <row r="38" spans="1:13" x14ac:dyDescent="0.25">
      <c r="A38" s="55"/>
      <c r="B38" s="21">
        <v>19</v>
      </c>
      <c r="C38" s="35"/>
      <c r="D38" s="40"/>
      <c r="E38" s="35"/>
      <c r="F38" s="8"/>
      <c r="G38" s="35"/>
      <c r="H38" s="8"/>
      <c r="I38" s="13"/>
      <c r="J38" s="7"/>
      <c r="K38" s="5"/>
      <c r="L38" s="5">
        <v>1960</v>
      </c>
      <c r="M38" s="24"/>
    </row>
    <row r="39" spans="1:13" x14ac:dyDescent="0.25">
      <c r="A39" s="56"/>
      <c r="B39" s="21">
        <v>20</v>
      </c>
      <c r="C39" s="35"/>
      <c r="D39" s="40"/>
      <c r="E39" s="35"/>
      <c r="F39" s="5" t="s">
        <v>32</v>
      </c>
      <c r="H39" s="5"/>
      <c r="I39" s="5"/>
      <c r="J39" s="9"/>
      <c r="K39" s="5"/>
      <c r="L39" s="8"/>
      <c r="M39" s="24"/>
    </row>
    <row r="40" spans="1:13" x14ac:dyDescent="0.25">
      <c r="A40" s="52" t="s">
        <v>102</v>
      </c>
      <c r="B40" s="21">
        <v>1</v>
      </c>
      <c r="C40" s="5" t="s">
        <v>68</v>
      </c>
      <c r="D40" s="6">
        <v>0.29166666666666702</v>
      </c>
      <c r="E40" s="13">
        <v>15</v>
      </c>
      <c r="F40" s="5" t="s">
        <v>32</v>
      </c>
      <c r="G40" s="5"/>
      <c r="H40" s="5"/>
      <c r="I40" s="5"/>
      <c r="J40" s="7"/>
      <c r="K40" s="5"/>
      <c r="L40" s="5">
        <v>6200</v>
      </c>
      <c r="M40" s="24"/>
    </row>
    <row r="41" spans="1:13" ht="14.85" customHeight="1" x14ac:dyDescent="0.25">
      <c r="A41" s="52"/>
      <c r="B41" s="21">
        <v>2</v>
      </c>
      <c r="C41" s="16" t="s">
        <v>57</v>
      </c>
      <c r="D41" s="38">
        <v>0.20833333333333301</v>
      </c>
      <c r="E41" s="17">
        <v>2</v>
      </c>
      <c r="F41" s="5" t="s">
        <v>32</v>
      </c>
      <c r="G41" s="42" t="s">
        <v>145</v>
      </c>
      <c r="H41" s="5"/>
      <c r="I41" s="5"/>
      <c r="J41" s="7"/>
      <c r="K41" s="5"/>
      <c r="L41" s="5">
        <v>2200</v>
      </c>
      <c r="M41" s="24"/>
    </row>
    <row r="42" spans="1:13" x14ac:dyDescent="0.25">
      <c r="A42" s="52"/>
      <c r="B42" s="21">
        <v>3</v>
      </c>
      <c r="C42" s="17" t="s">
        <v>10</v>
      </c>
      <c r="D42" s="30">
        <v>0.29166666666666702</v>
      </c>
      <c r="E42" s="17">
        <v>15</v>
      </c>
      <c r="F42" s="17"/>
      <c r="G42" s="35"/>
      <c r="H42" s="8"/>
      <c r="I42" s="13"/>
      <c r="J42" s="7"/>
      <c r="K42" s="5"/>
      <c r="L42" s="5">
        <v>4200</v>
      </c>
      <c r="M42" s="24"/>
    </row>
    <row r="43" spans="1:13" x14ac:dyDescent="0.25">
      <c r="A43" s="52"/>
      <c r="B43" s="21">
        <v>4</v>
      </c>
      <c r="C43" s="8" t="s">
        <v>1</v>
      </c>
      <c r="D43" s="38">
        <v>0.29166666666666702</v>
      </c>
      <c r="E43" s="35">
        <v>12</v>
      </c>
      <c r="F43" s="5" t="s">
        <v>32</v>
      </c>
      <c r="G43" s="5"/>
      <c r="H43" s="5"/>
      <c r="I43" s="5"/>
      <c r="J43" s="7"/>
      <c r="K43" s="5"/>
      <c r="L43" s="5">
        <v>7000</v>
      </c>
      <c r="M43" s="24"/>
    </row>
    <row r="44" spans="1:13" x14ac:dyDescent="0.25">
      <c r="A44" s="52"/>
      <c r="B44" s="21">
        <v>5</v>
      </c>
      <c r="C44" s="5" t="s">
        <v>0</v>
      </c>
      <c r="D44" s="6">
        <v>0.29166666666666702</v>
      </c>
      <c r="E44" s="13">
        <v>6</v>
      </c>
      <c r="F44" s="5" t="s">
        <v>32</v>
      </c>
      <c r="G44" s="5"/>
      <c r="H44" s="5"/>
      <c r="I44" s="5"/>
      <c r="J44" s="7"/>
      <c r="K44" s="5"/>
      <c r="L44" s="5">
        <v>6500</v>
      </c>
      <c r="M44" s="24"/>
    </row>
    <row r="45" spans="1:13" x14ac:dyDescent="0.25">
      <c r="A45" s="52"/>
      <c r="B45" s="21">
        <v>6</v>
      </c>
      <c r="C45" s="8" t="s">
        <v>3</v>
      </c>
      <c r="D45" s="10">
        <v>0.41666666666666702</v>
      </c>
      <c r="E45" s="35">
        <v>5</v>
      </c>
      <c r="F45" s="8" t="s">
        <v>32</v>
      </c>
      <c r="G45" s="8"/>
      <c r="H45" s="8"/>
      <c r="I45" s="5"/>
      <c r="J45" s="7"/>
      <c r="K45" s="5"/>
      <c r="L45" s="5"/>
      <c r="M45" s="24"/>
    </row>
    <row r="46" spans="1:13" x14ac:dyDescent="0.25">
      <c r="A46" s="52"/>
      <c r="B46" s="21">
        <v>7</v>
      </c>
      <c r="C46" s="17" t="s">
        <v>16</v>
      </c>
      <c r="D46" s="30">
        <v>0.29166666666666702</v>
      </c>
      <c r="E46" s="17">
        <v>19</v>
      </c>
      <c r="F46" s="5"/>
      <c r="G46" s="16"/>
      <c r="H46" s="16"/>
      <c r="I46" s="5"/>
      <c r="J46" s="7"/>
      <c r="K46" s="5"/>
      <c r="L46" s="5" t="s">
        <v>142</v>
      </c>
      <c r="M46" s="24"/>
    </row>
    <row r="47" spans="1:13" x14ac:dyDescent="0.25">
      <c r="A47" s="52"/>
      <c r="B47" s="21">
        <v>8</v>
      </c>
      <c r="C47" s="5" t="s">
        <v>37</v>
      </c>
      <c r="D47" s="6">
        <v>0.33333333333333298</v>
      </c>
      <c r="E47" s="13">
        <v>3</v>
      </c>
      <c r="F47" s="5"/>
      <c r="G47" s="5"/>
      <c r="H47" s="5"/>
      <c r="I47" s="5"/>
      <c r="J47" s="7"/>
      <c r="K47" s="5"/>
      <c r="L47" s="5">
        <v>8200</v>
      </c>
      <c r="M47" s="24"/>
    </row>
    <row r="48" spans="1:13" x14ac:dyDescent="0.25">
      <c r="A48" s="52"/>
      <c r="B48" s="21">
        <v>9</v>
      </c>
      <c r="C48" s="5" t="s">
        <v>85</v>
      </c>
      <c r="D48" s="6">
        <v>0.375</v>
      </c>
      <c r="E48" s="13">
        <v>1</v>
      </c>
      <c r="F48" s="5"/>
      <c r="G48" s="39"/>
      <c r="M48" s="24"/>
    </row>
    <row r="49" spans="1:13" x14ac:dyDescent="0.25">
      <c r="A49" s="52"/>
      <c r="B49" s="21">
        <v>10</v>
      </c>
      <c r="C49" s="16" t="s">
        <v>143</v>
      </c>
      <c r="D49" s="38">
        <v>0.29166666666666702</v>
      </c>
      <c r="E49" s="17">
        <v>7</v>
      </c>
      <c r="F49" s="16" t="s">
        <v>32</v>
      </c>
      <c r="G49" s="16"/>
      <c r="H49" s="5"/>
      <c r="I49" s="5"/>
      <c r="J49" s="7"/>
      <c r="K49" s="5"/>
      <c r="L49" s="5"/>
      <c r="M49" s="24"/>
    </row>
    <row r="50" spans="1:13" x14ac:dyDescent="0.25">
      <c r="A50" s="52"/>
      <c r="B50" s="21">
        <v>11</v>
      </c>
      <c r="C50" s="5" t="s">
        <v>5</v>
      </c>
      <c r="D50" s="6">
        <v>0.29166666666666702</v>
      </c>
      <c r="E50" s="13">
        <v>4</v>
      </c>
      <c r="F50" s="5"/>
      <c r="G50" s="16"/>
      <c r="H50" s="11"/>
      <c r="I50" s="5"/>
      <c r="J50" s="7"/>
      <c r="K50" s="5"/>
      <c r="L50" s="5"/>
      <c r="M50" s="24"/>
    </row>
    <row r="51" spans="1:13" x14ac:dyDescent="0.25">
      <c r="A51" s="52"/>
      <c r="B51" s="21">
        <v>12</v>
      </c>
      <c r="C51" s="5" t="s">
        <v>47</v>
      </c>
      <c r="D51" s="6">
        <v>0.29166666666666702</v>
      </c>
      <c r="E51" s="13">
        <v>5</v>
      </c>
      <c r="F51" s="5" t="s">
        <v>32</v>
      </c>
      <c r="M51" s="24"/>
    </row>
    <row r="52" spans="1:13" x14ac:dyDescent="0.25">
      <c r="A52" s="52"/>
      <c r="B52" s="21">
        <v>13</v>
      </c>
      <c r="C52" t="s">
        <v>80</v>
      </c>
      <c r="D52" s="6">
        <v>0.33333333333333398</v>
      </c>
      <c r="E52" s="13">
        <v>14</v>
      </c>
      <c r="F52" s="5" t="s">
        <v>32</v>
      </c>
      <c r="G52" s="5"/>
      <c r="H52" s="5"/>
      <c r="I52" s="5"/>
      <c r="J52" s="7"/>
      <c r="K52" s="5"/>
      <c r="L52" s="5">
        <v>11000</v>
      </c>
      <c r="M52" s="24"/>
    </row>
    <row r="53" spans="1:13" x14ac:dyDescent="0.25">
      <c r="A53" s="52"/>
      <c r="B53" s="21">
        <v>14</v>
      </c>
      <c r="C53" s="5" t="s">
        <v>13</v>
      </c>
      <c r="D53" s="6">
        <v>0.33333333333333298</v>
      </c>
      <c r="E53" s="13">
        <v>1</v>
      </c>
      <c r="F53" s="5" t="s">
        <v>32</v>
      </c>
      <c r="G53" s="5"/>
      <c r="H53" s="8"/>
      <c r="I53" s="5"/>
      <c r="J53" s="7"/>
      <c r="K53" s="5"/>
      <c r="L53" s="5"/>
      <c r="M53" s="24"/>
    </row>
    <row r="54" spans="1:13" x14ac:dyDescent="0.25">
      <c r="A54" s="52"/>
      <c r="B54" s="21">
        <v>15</v>
      </c>
      <c r="C54" s="8" t="s">
        <v>82</v>
      </c>
      <c r="D54" s="10"/>
      <c r="E54" s="35">
        <v>4</v>
      </c>
      <c r="F54" s="5"/>
      <c r="G54" s="45" t="s">
        <v>147</v>
      </c>
      <c r="H54" s="11"/>
      <c r="I54" s="5"/>
      <c r="J54" s="7"/>
      <c r="K54" s="5"/>
      <c r="L54" s="5">
        <v>620</v>
      </c>
      <c r="M54" s="24"/>
    </row>
    <row r="55" spans="1:13" x14ac:dyDescent="0.25">
      <c r="A55" s="52"/>
      <c r="B55" s="21">
        <v>16</v>
      </c>
      <c r="C55" s="5"/>
      <c r="D55" s="10"/>
      <c r="E55" s="37"/>
      <c r="F55" s="5"/>
      <c r="G55" s="5"/>
      <c r="H55" s="16"/>
      <c r="I55" s="16"/>
      <c r="J55" s="29"/>
      <c r="K55" s="16"/>
      <c r="L55" s="16"/>
      <c r="M55" s="24"/>
    </row>
    <row r="56" spans="1:13" x14ac:dyDescent="0.25">
      <c r="A56" s="52"/>
      <c r="B56" s="21">
        <v>17</v>
      </c>
      <c r="C56" s="17"/>
      <c r="D56" s="6"/>
      <c r="E56" s="13"/>
      <c r="F56" s="5"/>
      <c r="G56" s="5"/>
      <c r="H56" s="5"/>
      <c r="I56" s="5"/>
      <c r="J56" s="7"/>
      <c r="K56" s="5"/>
      <c r="L56" s="5"/>
      <c r="M56" s="24"/>
    </row>
    <row r="57" spans="1:13" x14ac:dyDescent="0.25">
      <c r="A57" s="52"/>
      <c r="B57" s="21">
        <v>18</v>
      </c>
      <c r="C57" s="5"/>
      <c r="D57" s="6"/>
      <c r="E57" s="13"/>
      <c r="F57" s="5"/>
      <c r="G57" s="16"/>
      <c r="H57" s="5"/>
      <c r="I57" s="5"/>
      <c r="J57" s="7"/>
      <c r="K57" s="5"/>
      <c r="L57" s="5"/>
      <c r="M57" s="24"/>
    </row>
    <row r="58" spans="1:13" x14ac:dyDescent="0.25">
      <c r="A58" s="52"/>
      <c r="B58" s="21">
        <v>19</v>
      </c>
      <c r="C58" s="5"/>
      <c r="D58" s="6"/>
      <c r="E58" s="13"/>
      <c r="F58" s="5"/>
      <c r="G58" s="5"/>
      <c r="H58" s="5"/>
      <c r="I58" s="5"/>
      <c r="J58" s="7"/>
      <c r="K58" s="5"/>
      <c r="L58" s="5"/>
      <c r="M58" s="24"/>
    </row>
    <row r="59" spans="1:13" x14ac:dyDescent="0.25">
      <c r="A59" s="52"/>
      <c r="B59" s="21">
        <v>20</v>
      </c>
      <c r="C59" s="5"/>
      <c r="D59" s="6"/>
      <c r="E59" s="13"/>
      <c r="F59" s="5"/>
      <c r="G59" s="5"/>
      <c r="H59" s="5"/>
      <c r="I59" s="5"/>
      <c r="J59" s="7"/>
      <c r="K59" s="5"/>
      <c r="L59" s="5"/>
      <c r="M59" s="24"/>
    </row>
    <row r="60" spans="1:13" x14ac:dyDescent="0.25">
      <c r="A60" s="52" t="s">
        <v>103</v>
      </c>
      <c r="B60" s="21">
        <v>1</v>
      </c>
      <c r="C60" s="19"/>
      <c r="D60" s="10"/>
      <c r="E60" s="37"/>
      <c r="F60" s="5"/>
      <c r="G60" s="5"/>
      <c r="H60" s="5"/>
      <c r="I60" s="5" t="s">
        <v>88</v>
      </c>
      <c r="J60" s="7"/>
      <c r="K60" s="5"/>
      <c r="L60" s="5"/>
      <c r="M60" s="24"/>
    </row>
    <row r="61" spans="1:13" x14ac:dyDescent="0.25">
      <c r="A61" s="52"/>
      <c r="B61" s="21">
        <v>2</v>
      </c>
      <c r="C61" s="5"/>
      <c r="D61" s="6"/>
      <c r="E61" s="13"/>
      <c r="F61" s="5"/>
      <c r="G61" s="16"/>
      <c r="H61" s="5"/>
      <c r="I61" s="5"/>
      <c r="J61" s="7"/>
      <c r="K61" s="5"/>
      <c r="L61" s="5"/>
      <c r="M61" s="24"/>
    </row>
    <row r="62" spans="1:13" x14ac:dyDescent="0.25">
      <c r="A62" s="52"/>
      <c r="B62" s="21">
        <v>3</v>
      </c>
      <c r="C62" s="5"/>
      <c r="D62" s="6"/>
      <c r="E62" s="13"/>
      <c r="F62" s="5"/>
      <c r="G62" s="16"/>
      <c r="H62" s="5"/>
      <c r="I62" s="5"/>
      <c r="J62" s="7"/>
      <c r="K62" s="5"/>
      <c r="L62" s="5"/>
      <c r="M62" s="24"/>
    </row>
    <row r="63" spans="1:13" x14ac:dyDescent="0.25">
      <c r="A63" s="52"/>
      <c r="B63" s="21">
        <v>4</v>
      </c>
      <c r="C63" s="5" t="s">
        <v>1</v>
      </c>
      <c r="D63" s="6">
        <v>0.29166666666666702</v>
      </c>
      <c r="E63" s="13">
        <v>4</v>
      </c>
      <c r="F63" s="5" t="s">
        <v>32</v>
      </c>
      <c r="G63" s="5"/>
      <c r="H63" s="5"/>
      <c r="I63" s="5"/>
      <c r="J63" s="7"/>
      <c r="K63" s="5"/>
      <c r="L63" s="5">
        <v>3000</v>
      </c>
      <c r="M63" s="24"/>
    </row>
    <row r="64" spans="1:13" ht="14.25" customHeight="1" x14ac:dyDescent="0.25">
      <c r="A64" s="52"/>
      <c r="B64" s="21">
        <v>5</v>
      </c>
      <c r="C64" s="5" t="s">
        <v>82</v>
      </c>
      <c r="D64" s="6"/>
      <c r="E64" s="13">
        <v>4</v>
      </c>
      <c r="F64" s="5"/>
      <c r="M64" s="24"/>
    </row>
    <row r="65" spans="1:13" x14ac:dyDescent="0.25">
      <c r="A65" s="52"/>
      <c r="B65" s="21">
        <v>6</v>
      </c>
      <c r="C65" s="5" t="s">
        <v>7</v>
      </c>
      <c r="D65" s="6">
        <v>0.33333333333333298</v>
      </c>
      <c r="E65" s="13">
        <v>22</v>
      </c>
      <c r="F65" s="5" t="s">
        <v>32</v>
      </c>
      <c r="G65" s="5"/>
      <c r="H65" s="8"/>
      <c r="I65" s="5"/>
      <c r="J65" s="7"/>
      <c r="K65" s="5"/>
      <c r="L65" s="5">
        <v>11000</v>
      </c>
      <c r="M65" s="24"/>
    </row>
    <row r="66" spans="1:13" x14ac:dyDescent="0.25">
      <c r="A66" s="52"/>
      <c r="B66" s="21">
        <v>7</v>
      </c>
      <c r="C66" s="5" t="s">
        <v>93</v>
      </c>
      <c r="D66" s="6">
        <v>0.25</v>
      </c>
      <c r="E66" s="35">
        <v>10</v>
      </c>
      <c r="F66" s="5"/>
      <c r="G66" s="5"/>
      <c r="H66" s="5"/>
      <c r="I66" s="5"/>
      <c r="J66" s="7"/>
      <c r="K66" s="5"/>
      <c r="L66" s="5">
        <v>75</v>
      </c>
      <c r="M66" s="24"/>
    </row>
    <row r="67" spans="1:13" x14ac:dyDescent="0.25">
      <c r="A67" s="52"/>
      <c r="B67" s="21">
        <v>8</v>
      </c>
      <c r="C67" s="8"/>
      <c r="D67" s="10">
        <v>0.33333333333333298</v>
      </c>
      <c r="E67" s="8"/>
      <c r="F67" s="5" t="s">
        <v>32</v>
      </c>
      <c r="G67" s="17"/>
      <c r="H67" s="5"/>
      <c r="I67" s="5"/>
      <c r="J67" s="7"/>
      <c r="K67" s="5"/>
      <c r="L67" s="5">
        <v>7000</v>
      </c>
      <c r="M67" s="24"/>
    </row>
    <row r="68" spans="1:13" x14ac:dyDescent="0.25">
      <c r="A68" s="52"/>
      <c r="B68" s="21">
        <v>9</v>
      </c>
      <c r="C68" s="8" t="s">
        <v>16</v>
      </c>
      <c r="D68" s="10">
        <v>0.29166666666666702</v>
      </c>
      <c r="E68" s="35">
        <v>19</v>
      </c>
      <c r="F68" s="5" t="s">
        <v>32</v>
      </c>
      <c r="G68" s="16"/>
      <c r="H68" s="5"/>
      <c r="I68" s="5"/>
      <c r="J68" s="7"/>
      <c r="K68" s="5"/>
      <c r="L68" s="5">
        <v>11000</v>
      </c>
      <c r="M68" s="24"/>
    </row>
    <row r="69" spans="1:13" x14ac:dyDescent="0.25">
      <c r="A69" s="52"/>
      <c r="B69" s="21">
        <v>10</v>
      </c>
      <c r="C69" s="5" t="s">
        <v>57</v>
      </c>
      <c r="D69" s="6">
        <v>0.41666666666666669</v>
      </c>
      <c r="E69" s="13">
        <v>1</v>
      </c>
      <c r="F69" s="5" t="s">
        <v>32</v>
      </c>
      <c r="G69" s="16"/>
      <c r="H69" s="5"/>
      <c r="I69" s="5"/>
      <c r="J69" s="7"/>
      <c r="K69" s="5"/>
      <c r="L69" s="5">
        <v>4500</v>
      </c>
      <c r="M69" s="24"/>
    </row>
    <row r="70" spans="1:13" x14ac:dyDescent="0.25">
      <c r="A70" s="52"/>
      <c r="B70" s="21">
        <v>11</v>
      </c>
      <c r="C70" s="5" t="s">
        <v>47</v>
      </c>
      <c r="D70" s="6">
        <v>0.29166666666666702</v>
      </c>
      <c r="E70" s="13">
        <v>6</v>
      </c>
      <c r="F70" s="5" t="s">
        <v>32</v>
      </c>
      <c r="G70" s="16"/>
      <c r="H70" s="16"/>
      <c r="I70" s="16"/>
      <c r="J70" s="29"/>
      <c r="K70" s="16"/>
      <c r="L70" s="5">
        <v>177</v>
      </c>
      <c r="M70" s="24"/>
    </row>
    <row r="71" spans="1:13" x14ac:dyDescent="0.25">
      <c r="A71" s="52"/>
      <c r="B71" s="21">
        <v>13</v>
      </c>
      <c r="C71" s="5" t="s">
        <v>15</v>
      </c>
      <c r="D71" s="6">
        <v>0.41666666666666702</v>
      </c>
      <c r="E71" s="5">
        <v>24</v>
      </c>
      <c r="F71" s="5" t="s">
        <v>32</v>
      </c>
      <c r="G71" s="5"/>
      <c r="H71" s="16"/>
      <c r="I71" s="16"/>
      <c r="J71" s="29"/>
      <c r="K71" s="16"/>
      <c r="L71" s="17">
        <v>4600</v>
      </c>
      <c r="M71" s="24"/>
    </row>
    <row r="72" spans="1:13" x14ac:dyDescent="0.25">
      <c r="A72" s="52"/>
      <c r="B72" s="21">
        <v>14</v>
      </c>
      <c r="C72" s="5" t="s">
        <v>0</v>
      </c>
      <c r="D72" s="6">
        <v>0.29166666666666702</v>
      </c>
      <c r="E72" s="13">
        <v>4</v>
      </c>
      <c r="F72" s="5" t="s">
        <v>32</v>
      </c>
      <c r="G72" s="16"/>
      <c r="H72" s="16"/>
      <c r="I72" s="16"/>
      <c r="J72" s="29"/>
      <c r="K72" s="16"/>
      <c r="L72" s="16">
        <v>2400</v>
      </c>
      <c r="M72" s="24"/>
    </row>
    <row r="73" spans="1:13" x14ac:dyDescent="0.25">
      <c r="A73" s="52"/>
      <c r="B73" s="21">
        <v>15</v>
      </c>
      <c r="C73" s="5" t="s">
        <v>9</v>
      </c>
      <c r="D73" s="6">
        <v>0.41666666666666702</v>
      </c>
      <c r="E73" s="13">
        <v>2</v>
      </c>
      <c r="F73" s="5" t="s">
        <v>32</v>
      </c>
      <c r="G73" s="16"/>
      <c r="H73" s="16"/>
      <c r="I73" s="5"/>
      <c r="J73" s="7"/>
      <c r="K73" s="5"/>
      <c r="L73" s="5">
        <v>350</v>
      </c>
      <c r="M73" s="24"/>
    </row>
    <row r="74" spans="1:13" x14ac:dyDescent="0.25">
      <c r="A74" s="52"/>
      <c r="B74" s="21">
        <v>16</v>
      </c>
      <c r="C74" s="5" t="s">
        <v>4</v>
      </c>
      <c r="D74" s="6"/>
      <c r="E74" s="13">
        <v>1</v>
      </c>
      <c r="F74" s="5" t="s">
        <v>32</v>
      </c>
      <c r="G74" s="5"/>
      <c r="H74" s="5"/>
      <c r="I74" s="5"/>
      <c r="J74" s="7"/>
      <c r="K74" s="5"/>
      <c r="L74" s="5">
        <v>6000</v>
      </c>
      <c r="M74" s="24"/>
    </row>
    <row r="75" spans="1:13" x14ac:dyDescent="0.25">
      <c r="A75" s="52"/>
      <c r="B75" s="21">
        <v>17</v>
      </c>
      <c r="C75" s="5" t="s">
        <v>75</v>
      </c>
      <c r="D75" s="6">
        <v>0.25</v>
      </c>
      <c r="E75" s="13">
        <v>6</v>
      </c>
      <c r="F75" s="5"/>
      <c r="G75" s="5"/>
      <c r="H75" s="5"/>
      <c r="I75" s="5"/>
      <c r="J75" s="7"/>
      <c r="K75" s="5"/>
      <c r="L75" s="5"/>
      <c r="M75" s="24"/>
    </row>
    <row r="76" spans="1:13" x14ac:dyDescent="0.25">
      <c r="A76" s="52"/>
      <c r="B76" s="21">
        <v>18</v>
      </c>
      <c r="C76" s="5" t="s">
        <v>37</v>
      </c>
      <c r="D76" s="6">
        <v>0.41666666666666702</v>
      </c>
      <c r="E76" s="13">
        <v>12</v>
      </c>
      <c r="F76" s="5" t="s">
        <v>32</v>
      </c>
      <c r="G76" s="17"/>
      <c r="H76" s="17"/>
      <c r="I76" s="5"/>
      <c r="J76" s="7"/>
      <c r="K76" s="5"/>
      <c r="L76" s="5">
        <v>10000</v>
      </c>
      <c r="M76" s="24"/>
    </row>
    <row r="77" spans="1:13" x14ac:dyDescent="0.25">
      <c r="A77" s="52"/>
      <c r="B77" s="21">
        <v>19</v>
      </c>
      <c r="C77" s="35" t="s">
        <v>75</v>
      </c>
      <c r="D77" s="40">
        <v>0.45833333333333298</v>
      </c>
      <c r="E77" s="35">
        <v>4</v>
      </c>
      <c r="F77" s="18"/>
      <c r="G77" s="17"/>
      <c r="H77" s="17"/>
      <c r="I77" s="5"/>
      <c r="J77" s="7"/>
      <c r="K77" s="5"/>
      <c r="L77" s="5"/>
      <c r="M77" s="24"/>
    </row>
    <row r="78" spans="1:13" x14ac:dyDescent="0.25">
      <c r="A78" s="52"/>
      <c r="B78" s="21">
        <v>20</v>
      </c>
      <c r="C78" s="8"/>
      <c r="D78" s="10">
        <v>0.41666666666666702</v>
      </c>
      <c r="E78" s="8"/>
      <c r="F78" s="5"/>
      <c r="G78" s="17"/>
      <c r="H78" s="17"/>
      <c r="I78" s="5"/>
      <c r="J78" s="7"/>
      <c r="K78" s="5"/>
      <c r="L78" s="5"/>
      <c r="M78" s="24"/>
    </row>
    <row r="79" spans="1:13" x14ac:dyDescent="0.25">
      <c r="A79" s="52"/>
      <c r="B79" s="21">
        <v>21</v>
      </c>
      <c r="C79" s="8" t="s">
        <v>59</v>
      </c>
      <c r="D79" s="30">
        <v>0.41666666666666702</v>
      </c>
      <c r="E79" s="39">
        <v>9</v>
      </c>
      <c r="F79" s="17"/>
      <c r="G79" s="45" t="s">
        <v>147</v>
      </c>
      <c r="H79" s="16"/>
      <c r="I79" s="5"/>
      <c r="J79" s="7"/>
      <c r="K79" s="5"/>
      <c r="L79" s="5"/>
      <c r="M79" s="24"/>
    </row>
    <row r="80" spans="1:13" x14ac:dyDescent="0.25">
      <c r="A80" s="52"/>
      <c r="B80" s="21">
        <v>22</v>
      </c>
      <c r="C80" s="5" t="s">
        <v>61</v>
      </c>
      <c r="D80" s="6">
        <v>0.33333333333333298</v>
      </c>
      <c r="E80" s="13">
        <v>2</v>
      </c>
      <c r="F80" s="5"/>
      <c r="G80" s="5"/>
      <c r="H80" s="5"/>
      <c r="I80" s="5"/>
      <c r="J80" s="7"/>
      <c r="K80" s="5"/>
      <c r="L80" s="5"/>
      <c r="M80" s="24"/>
    </row>
    <row r="81" spans="1:23" x14ac:dyDescent="0.25">
      <c r="A81" s="52" t="s">
        <v>104</v>
      </c>
      <c r="B81" s="21">
        <v>1</v>
      </c>
      <c r="C81" s="8" t="s">
        <v>0</v>
      </c>
      <c r="D81" s="10">
        <v>0.29166666666666702</v>
      </c>
      <c r="E81" s="35">
        <v>5</v>
      </c>
      <c r="F81" s="5" t="s">
        <v>32</v>
      </c>
      <c r="G81" s="17"/>
      <c r="H81" s="17"/>
      <c r="I81" s="5"/>
      <c r="J81" s="7"/>
      <c r="K81" s="5"/>
      <c r="L81" s="5">
        <v>5600</v>
      </c>
      <c r="M81" s="24"/>
    </row>
    <row r="82" spans="1:23" x14ac:dyDescent="0.25">
      <c r="A82" s="52"/>
      <c r="B82" s="21">
        <v>2</v>
      </c>
      <c r="C82" s="5" t="s">
        <v>68</v>
      </c>
      <c r="D82" s="6">
        <v>0.29166666666666702</v>
      </c>
      <c r="E82" s="13">
        <v>11</v>
      </c>
      <c r="F82" s="5"/>
      <c r="G82" s="16"/>
      <c r="H82" s="5"/>
      <c r="I82" s="5"/>
      <c r="J82" s="7"/>
      <c r="K82" s="5"/>
      <c r="L82" s="5">
        <v>7300</v>
      </c>
      <c r="M82" s="24"/>
    </row>
    <row r="83" spans="1:23" x14ac:dyDescent="0.25">
      <c r="A83" s="52"/>
      <c r="B83" s="21">
        <v>3</v>
      </c>
      <c r="C83" s="5"/>
      <c r="D83" s="6"/>
      <c r="E83" s="13"/>
      <c r="F83" s="5"/>
      <c r="G83" s="5"/>
      <c r="H83" s="16"/>
      <c r="I83" s="5"/>
      <c r="J83" s="7"/>
      <c r="K83" s="5"/>
      <c r="L83" s="5"/>
      <c r="M83" s="24"/>
    </row>
    <row r="84" spans="1:23" x14ac:dyDescent="0.25">
      <c r="A84" s="52"/>
      <c r="B84" s="21">
        <v>4</v>
      </c>
      <c r="C84" s="42" t="s">
        <v>10</v>
      </c>
      <c r="D84" s="43">
        <v>0.20833333333333301</v>
      </c>
      <c r="E84" s="44">
        <v>16</v>
      </c>
      <c r="F84" s="5"/>
      <c r="G84" s="16"/>
      <c r="H84" s="5"/>
      <c r="I84" s="5"/>
      <c r="J84" s="9"/>
      <c r="K84" s="5"/>
      <c r="L84" s="8"/>
      <c r="M84" s="24"/>
      <c r="T84" s="5"/>
      <c r="U84" s="6"/>
      <c r="V84" s="13"/>
      <c r="W84" s="5"/>
    </row>
    <row r="85" spans="1:23" x14ac:dyDescent="0.25">
      <c r="A85" s="52"/>
      <c r="B85" s="21">
        <v>5</v>
      </c>
      <c r="C85" s="5" t="s">
        <v>99</v>
      </c>
      <c r="D85" s="6">
        <v>0.25</v>
      </c>
      <c r="E85" s="13">
        <v>3</v>
      </c>
      <c r="F85" s="5"/>
      <c r="G85" s="5"/>
      <c r="H85" s="8"/>
      <c r="I85" s="5"/>
      <c r="J85" s="7"/>
      <c r="K85" s="5"/>
      <c r="L85" s="5">
        <v>11000</v>
      </c>
      <c r="M85" s="24"/>
    </row>
    <row r="86" spans="1:23" x14ac:dyDescent="0.25">
      <c r="A86" s="52"/>
      <c r="B86" s="21">
        <v>6</v>
      </c>
      <c r="C86" t="s">
        <v>80</v>
      </c>
      <c r="D86" s="6">
        <v>0.375</v>
      </c>
      <c r="E86" s="18">
        <v>4</v>
      </c>
      <c r="F86" s="5" t="s">
        <v>32</v>
      </c>
      <c r="G86" s="35"/>
      <c r="H86" s="5"/>
      <c r="I86" s="5"/>
      <c r="J86" s="7"/>
      <c r="K86" s="5"/>
      <c r="L86" s="5"/>
      <c r="M86" s="24"/>
    </row>
    <row r="87" spans="1:23" x14ac:dyDescent="0.25">
      <c r="A87" s="52"/>
      <c r="B87" s="21">
        <v>7</v>
      </c>
      <c r="C87" s="5" t="s">
        <v>82</v>
      </c>
      <c r="D87" s="6">
        <v>0.375</v>
      </c>
      <c r="E87" s="13">
        <v>2</v>
      </c>
      <c r="F87" s="5"/>
      <c r="G87" s="17"/>
      <c r="H87" s="17"/>
      <c r="I87" s="13"/>
      <c r="J87" s="7"/>
      <c r="K87" s="5"/>
      <c r="L87" s="5"/>
      <c r="M87" s="24"/>
    </row>
    <row r="88" spans="1:23" x14ac:dyDescent="0.25">
      <c r="A88" s="52"/>
      <c r="B88" s="21">
        <v>8</v>
      </c>
      <c r="C88" s="5" t="s">
        <v>1</v>
      </c>
      <c r="D88" s="6">
        <v>0.29166666666666702</v>
      </c>
      <c r="E88" s="13">
        <v>8</v>
      </c>
      <c r="F88" s="5" t="s">
        <v>32</v>
      </c>
      <c r="G88" s="16"/>
      <c r="H88" s="5"/>
      <c r="I88" s="5"/>
      <c r="J88" s="9"/>
      <c r="K88" s="5"/>
      <c r="L88" s="8">
        <v>3000</v>
      </c>
      <c r="M88" s="24"/>
    </row>
    <row r="89" spans="1:23" x14ac:dyDescent="0.25">
      <c r="A89" s="52"/>
      <c r="B89" s="21">
        <v>9</v>
      </c>
      <c r="C89" s="5" t="s">
        <v>140</v>
      </c>
      <c r="D89" s="6">
        <v>0.375</v>
      </c>
      <c r="E89" s="13">
        <v>1</v>
      </c>
      <c r="F89" s="5" t="s">
        <v>32</v>
      </c>
      <c r="H89" s="5"/>
      <c r="I89" s="5"/>
      <c r="J89" s="9"/>
      <c r="L89" s="8"/>
      <c r="M89" s="24"/>
    </row>
    <row r="90" spans="1:23" x14ac:dyDescent="0.25">
      <c r="A90" s="52"/>
      <c r="B90" s="21">
        <v>10</v>
      </c>
      <c r="C90" s="5" t="s">
        <v>16</v>
      </c>
      <c r="D90" s="6">
        <v>0.29166666666666702</v>
      </c>
      <c r="E90" s="13">
        <v>18</v>
      </c>
      <c r="F90" s="5" t="s">
        <v>32</v>
      </c>
      <c r="G90" s="5"/>
      <c r="H90" s="5"/>
      <c r="I90" s="5"/>
      <c r="J90" s="9"/>
      <c r="K90" s="5"/>
      <c r="L90" s="8">
        <v>10230</v>
      </c>
      <c r="M90" s="24"/>
    </row>
    <row r="91" spans="1:23" x14ac:dyDescent="0.25">
      <c r="A91" s="52"/>
      <c r="B91" s="21">
        <v>11</v>
      </c>
      <c r="C91" s="5" t="s">
        <v>37</v>
      </c>
      <c r="D91" s="6">
        <v>0.45833333333333298</v>
      </c>
      <c r="E91" s="13">
        <v>2</v>
      </c>
      <c r="F91" s="5"/>
      <c r="G91" s="5"/>
      <c r="H91" s="5"/>
      <c r="I91" s="5"/>
      <c r="J91" s="9"/>
      <c r="K91" s="5"/>
      <c r="L91" s="8"/>
      <c r="M91" s="24"/>
    </row>
    <row r="92" spans="1:23" x14ac:dyDescent="0.25">
      <c r="A92" s="52"/>
      <c r="B92" s="21">
        <v>12</v>
      </c>
      <c r="C92" s="5" t="s">
        <v>99</v>
      </c>
      <c r="D92" s="6">
        <v>0.29166666666666702</v>
      </c>
      <c r="E92" s="18">
        <v>2</v>
      </c>
      <c r="F92" s="5"/>
      <c r="G92" s="5"/>
      <c r="H92" s="16"/>
      <c r="I92" s="16"/>
      <c r="J92" s="29"/>
      <c r="K92" s="16"/>
      <c r="L92" s="17"/>
      <c r="M92" s="24"/>
    </row>
    <row r="93" spans="1:23" x14ac:dyDescent="0.25">
      <c r="A93" s="52"/>
      <c r="B93" s="21">
        <v>13</v>
      </c>
      <c r="C93" s="5" t="s">
        <v>7</v>
      </c>
      <c r="D93" s="6">
        <v>0.33333333333333298</v>
      </c>
      <c r="E93" s="13">
        <v>3</v>
      </c>
      <c r="F93" s="5" t="s">
        <v>32</v>
      </c>
      <c r="G93" s="16"/>
      <c r="H93" s="5"/>
      <c r="I93" s="5"/>
      <c r="J93" s="9"/>
      <c r="K93" s="5"/>
      <c r="L93" s="8"/>
      <c r="M93" s="24"/>
    </row>
    <row r="94" spans="1:23" x14ac:dyDescent="0.25">
      <c r="A94" s="52"/>
      <c r="B94" s="21">
        <v>14</v>
      </c>
      <c r="C94" s="5"/>
      <c r="D94" s="6"/>
      <c r="E94" s="13"/>
      <c r="F94" s="5"/>
      <c r="G94" s="5"/>
      <c r="H94" s="5"/>
      <c r="I94" s="5"/>
      <c r="J94" s="9"/>
      <c r="K94" s="5"/>
      <c r="L94" s="8"/>
      <c r="M94" s="24"/>
    </row>
    <row r="95" spans="1:23" x14ac:dyDescent="0.25">
      <c r="A95" s="52"/>
      <c r="B95" s="21">
        <v>15</v>
      </c>
      <c r="C95" s="17"/>
      <c r="D95" s="6"/>
      <c r="E95" s="13"/>
      <c r="F95" s="5"/>
      <c r="G95" s="5"/>
      <c r="H95" s="5"/>
      <c r="I95" s="5"/>
      <c r="J95" s="9"/>
      <c r="K95" s="5"/>
      <c r="L95" s="8"/>
      <c r="M95" s="24"/>
    </row>
    <row r="96" spans="1:23" x14ac:dyDescent="0.25">
      <c r="A96" s="52"/>
      <c r="B96" s="21">
        <v>16</v>
      </c>
      <c r="C96" s="5"/>
      <c r="D96" s="6"/>
      <c r="E96" s="13"/>
      <c r="F96" s="5"/>
      <c r="G96" s="17"/>
      <c r="H96" s="5"/>
      <c r="I96" s="5"/>
      <c r="J96" s="9"/>
      <c r="K96" s="5"/>
      <c r="L96" s="8"/>
      <c r="M96" s="24"/>
    </row>
    <row r="97" spans="1:13" x14ac:dyDescent="0.25">
      <c r="A97" s="52"/>
      <c r="B97" s="21">
        <v>17</v>
      </c>
      <c r="C97" s="5"/>
      <c r="D97" s="6"/>
      <c r="E97" s="13"/>
      <c r="F97" s="5"/>
      <c r="G97" s="5"/>
      <c r="H97" s="5"/>
      <c r="I97" s="5"/>
      <c r="J97" s="9"/>
      <c r="K97" s="5"/>
      <c r="L97" s="8"/>
      <c r="M97" s="24"/>
    </row>
    <row r="98" spans="1:13" x14ac:dyDescent="0.25">
      <c r="A98" s="52"/>
      <c r="B98" s="21">
        <v>18</v>
      </c>
      <c r="C98" s="17"/>
      <c r="D98" s="30"/>
      <c r="E98" s="17"/>
      <c r="F98" s="5"/>
      <c r="G98" s="17"/>
      <c r="H98" s="5"/>
      <c r="I98" s="5"/>
      <c r="J98" s="9"/>
      <c r="K98" s="5"/>
      <c r="L98" s="8"/>
      <c r="M98" s="24"/>
    </row>
    <row r="99" spans="1:13" x14ac:dyDescent="0.25">
      <c r="A99" s="52"/>
      <c r="B99" s="21">
        <v>19</v>
      </c>
      <c r="C99" s="5"/>
      <c r="D99" s="6"/>
      <c r="E99" s="13"/>
      <c r="F99" s="5"/>
      <c r="G99" s="17"/>
      <c r="H99" s="17"/>
      <c r="I99" s="5"/>
      <c r="J99" s="9"/>
      <c r="K99" s="5"/>
      <c r="L99" s="8"/>
      <c r="M99" s="24"/>
    </row>
    <row r="100" spans="1:13" x14ac:dyDescent="0.25">
      <c r="A100" s="52" t="s">
        <v>30</v>
      </c>
      <c r="B100" s="21">
        <v>1</v>
      </c>
      <c r="C100" s="5"/>
      <c r="D100" s="6"/>
      <c r="E100" s="13"/>
      <c r="F100" s="5"/>
      <c r="G100" s="5"/>
      <c r="H100" s="5"/>
      <c r="I100" s="5"/>
      <c r="J100" s="9"/>
      <c r="K100" s="5"/>
      <c r="L100" s="8"/>
      <c r="M100" s="24"/>
    </row>
    <row r="101" spans="1:13" x14ac:dyDescent="0.25">
      <c r="A101" s="52"/>
      <c r="B101" s="21">
        <v>2</v>
      </c>
      <c r="C101" s="5" t="s">
        <v>68</v>
      </c>
      <c r="D101" s="6">
        <v>0.33333333333333398</v>
      </c>
      <c r="E101" s="13">
        <v>14</v>
      </c>
      <c r="F101" s="5"/>
      <c r="G101" s="17"/>
      <c r="H101" s="17"/>
      <c r="I101" s="17"/>
      <c r="J101" s="20"/>
      <c r="K101" s="17"/>
      <c r="L101" s="17"/>
      <c r="M101" s="31"/>
    </row>
    <row r="102" spans="1:13" x14ac:dyDescent="0.25">
      <c r="A102" s="53"/>
      <c r="B102" s="21">
        <v>3</v>
      </c>
      <c r="C102" s="32" t="s">
        <v>1</v>
      </c>
      <c r="D102" s="6">
        <v>0.33333333333333398</v>
      </c>
      <c r="E102" s="13">
        <v>10</v>
      </c>
      <c r="F102" s="5" t="s">
        <v>32</v>
      </c>
      <c r="G102" s="32"/>
      <c r="H102" s="32"/>
      <c r="I102" s="32"/>
      <c r="J102" s="34"/>
      <c r="K102" s="17"/>
      <c r="L102" s="17"/>
      <c r="M102" s="31"/>
    </row>
    <row r="103" spans="1:13" x14ac:dyDescent="0.25">
      <c r="A103" s="53"/>
      <c r="B103" s="21">
        <v>4</v>
      </c>
      <c r="C103" s="32" t="s">
        <v>0</v>
      </c>
      <c r="D103" s="33">
        <v>0.29166666666666702</v>
      </c>
      <c r="E103" s="32">
        <v>8</v>
      </c>
      <c r="F103" s="5" t="s">
        <v>32</v>
      </c>
      <c r="G103" s="32"/>
      <c r="H103" s="32"/>
      <c r="I103" s="32"/>
      <c r="J103" s="34"/>
      <c r="K103" s="17"/>
      <c r="L103" s="17"/>
      <c r="M103" s="31"/>
    </row>
    <row r="104" spans="1:13" ht="15.75" thickBot="1" x14ac:dyDescent="0.3">
      <c r="A104" s="54"/>
      <c r="B104" s="21">
        <v>5</v>
      </c>
      <c r="C104" s="25"/>
      <c r="D104" s="26"/>
      <c r="E104" s="25"/>
      <c r="F104" s="5"/>
      <c r="G104" s="25"/>
      <c r="H104" s="25"/>
      <c r="I104" s="27"/>
      <c r="J104" s="28"/>
      <c r="K104" s="27"/>
      <c r="L104" s="25"/>
      <c r="M104" s="24"/>
    </row>
  </sheetData>
  <dataConsolidate/>
  <mergeCells count="8">
    <mergeCell ref="A1:M1"/>
    <mergeCell ref="A2:M2"/>
    <mergeCell ref="A100:A104"/>
    <mergeCell ref="A81:A99"/>
    <mergeCell ref="A60:A80"/>
    <mergeCell ref="A40:A59"/>
    <mergeCell ref="A20:A39"/>
    <mergeCell ref="A4:A19"/>
  </mergeCells>
  <phoneticPr fontId="10" type="noConversion"/>
  <conditionalFormatting sqref="F4:F22">
    <cfRule type="containsText" dxfId="15" priority="13" operator="containsText" text="Not Confirmed">
      <formula>NOT(ISERROR(SEARCH("Not Confirmed",F4)))</formula>
    </cfRule>
    <cfRule type="containsText" dxfId="14" priority="14" operator="containsText" text="Canceled">
      <formula>NOT(ISERROR(SEARCH("Canceled",F4)))</formula>
    </cfRule>
    <cfRule type="containsText" dxfId="13" priority="15" operator="containsText" text="Delayed">
      <formula>NOT(ISERROR(SEARCH("Delayed",F4)))</formula>
    </cfRule>
    <cfRule type="containsText" dxfId="12" priority="16" operator="containsText" text="Confirmed">
      <formula>NOT(ISERROR(SEARCH("Confirmed",F4)))</formula>
    </cfRule>
  </conditionalFormatting>
  <conditionalFormatting sqref="F24:F36">
    <cfRule type="containsText" dxfId="11" priority="1" operator="containsText" text="Not Confirmed">
      <formula>NOT(ISERROR(SEARCH("Not Confirmed",F24)))</formula>
    </cfRule>
    <cfRule type="containsText" dxfId="10" priority="2" operator="containsText" text="Canceled">
      <formula>NOT(ISERROR(SEARCH("Canceled",F24)))</formula>
    </cfRule>
    <cfRule type="containsText" dxfId="9" priority="3" operator="containsText" text="Delayed">
      <formula>NOT(ISERROR(SEARCH("Delayed",F24)))</formula>
    </cfRule>
    <cfRule type="containsText" dxfId="8" priority="4" operator="containsText" text="Confirmed">
      <formula>NOT(ISERROR(SEARCH("Confirmed",F24)))</formula>
    </cfRule>
  </conditionalFormatting>
  <conditionalFormatting sqref="F38:F104">
    <cfRule type="containsText" dxfId="7" priority="5" operator="containsText" text="Not Confirmed">
      <formula>NOT(ISERROR(SEARCH("Not Confirmed",F38)))</formula>
    </cfRule>
    <cfRule type="containsText" dxfId="6" priority="6" operator="containsText" text="Canceled">
      <formula>NOT(ISERROR(SEARCH("Canceled",F38)))</formula>
    </cfRule>
    <cfRule type="containsText" dxfId="5" priority="7" operator="containsText" text="Delayed">
      <formula>NOT(ISERROR(SEARCH("Delayed",F38)))</formula>
    </cfRule>
    <cfRule type="containsText" dxfId="4" priority="8" operator="containsText" text="Confirmed">
      <formula>NOT(ISERROR(SEARCH("Confirmed",F38)))</formula>
    </cfRule>
  </conditionalFormatting>
  <conditionalFormatting sqref="W84">
    <cfRule type="containsText" dxfId="3" priority="69" operator="containsText" text="Not Confirmed">
      <formula>NOT(ISERROR(SEARCH("Not Confirmed",W84)))</formula>
    </cfRule>
    <cfRule type="containsText" dxfId="2" priority="70" operator="containsText" text="Canceled">
      <formula>NOT(ISERROR(SEARCH("Canceled",W84)))</formula>
    </cfRule>
    <cfRule type="containsText" dxfId="1" priority="71" operator="containsText" text="Delayed">
      <formula>NOT(ISERROR(SEARCH("Delayed",W84)))</formula>
    </cfRule>
    <cfRule type="containsText" dxfId="0" priority="72" operator="containsText" text="Confirmed">
      <formula>NOT(ISERROR(SEARCH("Confirmed",W84)))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925F1ED-32DC-4C23-B122-7EE83828FA4C}">
          <x14:formula1>
            <xm:f>Destination!$E$1:$E$24</xm:f>
          </x14:formula1>
          <xm:sqref>U84 D4:D10 D12:D36 D40:D104</xm:sqref>
        </x14:dataValidation>
        <x14:dataValidation type="list" allowBlank="1" showInputMessage="1" showErrorMessage="1" xr:uid="{5C2CF3FC-E254-43DE-8311-5C066B211A99}">
          <x14:formula1>
            <xm:f>Destination!$F$1:$F$40</xm:f>
          </x14:formula1>
          <xm:sqref>V84 E40:E59 E4:E37 E61:E78 E80:E85 E87:E104</xm:sqref>
        </x14:dataValidation>
        <x14:dataValidation type="list" allowBlank="1" showInputMessage="1" showErrorMessage="1" xr:uid="{5078667B-8ED8-4261-831A-7ED490DE5EF2}">
          <x14:formula1>
            <xm:f>Customers!$A:$A</xm:f>
          </x14:formula1>
          <xm:sqref>T84 C96:C101 C103:C104 C53:C59 C40:C51 C4:C37 C61:C85 C87:C94</xm:sqref>
        </x14:dataValidation>
        <x14:dataValidation type="list" allowBlank="1" showInputMessage="1" showErrorMessage="1" xr:uid="{CBE56E7A-A421-4D0D-A78C-BC5AD711EC86}">
          <x14:formula1>
            <xm:f>Statut!$A$1:$A$3</xm:f>
          </x14:formula1>
          <xm:sqref>W84 F4:F22 F24:F36 F39:F104</xm:sqref>
        </x14:dataValidation>
        <x14:dataValidation type="list" allowBlank="1" showInputMessage="1" showErrorMessage="1" xr:uid="{C480361C-9FCC-4FB8-A5C3-704C7F768752}">
          <x14:formula1>
            <xm:f>Destination!$A$1:$A$4</xm:f>
          </x14:formula1>
          <xm:sqref>I52:I63 I65:I104 I34:I47 I49:I50 I4:I32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98BF-17E3-42A1-B40A-45286A69E9C7}">
  <dimension ref="A1"/>
  <sheetViews>
    <sheetView workbookViewId="0">
      <selection activeCell="F3" sqref="F3:F4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F871-E6D7-48F1-87CC-D2710833FD39}">
  <dimension ref="A3:B12"/>
  <sheetViews>
    <sheetView workbookViewId="0">
      <selection activeCell="F21" sqref="F21"/>
    </sheetView>
  </sheetViews>
  <sheetFormatPr baseColWidth="10" defaultColWidth="11.42578125" defaultRowHeight="15" x14ac:dyDescent="0.25"/>
  <cols>
    <col min="1" max="1" width="19.5703125" bestFit="1" customWidth="1"/>
    <col min="2" max="2" width="22.42578125" bestFit="1" customWidth="1"/>
  </cols>
  <sheetData>
    <row r="3" spans="1:2" x14ac:dyDescent="0.25">
      <c r="A3" s="14" t="s">
        <v>114</v>
      </c>
      <c r="B3" t="s">
        <v>117</v>
      </c>
    </row>
    <row r="4" spans="1:2" x14ac:dyDescent="0.25">
      <c r="A4" s="15" t="s">
        <v>109</v>
      </c>
      <c r="B4">
        <v>330</v>
      </c>
    </row>
    <row r="5" spans="1:2" x14ac:dyDescent="0.25">
      <c r="A5" s="15" t="s">
        <v>107</v>
      </c>
      <c r="B5">
        <v>225</v>
      </c>
    </row>
    <row r="6" spans="1:2" x14ac:dyDescent="0.25">
      <c r="A6" s="15" t="s">
        <v>110</v>
      </c>
      <c r="B6">
        <v>310</v>
      </c>
    </row>
    <row r="7" spans="1:2" x14ac:dyDescent="0.25">
      <c r="A7" s="15" t="s">
        <v>113</v>
      </c>
      <c r="B7">
        <v>195</v>
      </c>
    </row>
    <row r="8" spans="1:2" x14ac:dyDescent="0.25">
      <c r="A8" s="15" t="s">
        <v>111</v>
      </c>
      <c r="B8">
        <v>290</v>
      </c>
    </row>
    <row r="9" spans="1:2" x14ac:dyDescent="0.25">
      <c r="A9" s="15" t="s">
        <v>108</v>
      </c>
      <c r="B9">
        <v>355</v>
      </c>
    </row>
    <row r="10" spans="1:2" x14ac:dyDescent="0.25">
      <c r="A10" s="15" t="s">
        <v>112</v>
      </c>
      <c r="B10">
        <v>10</v>
      </c>
    </row>
    <row r="11" spans="1:2" x14ac:dyDescent="0.25">
      <c r="A11" s="15" t="s">
        <v>115</v>
      </c>
    </row>
    <row r="12" spans="1:2" x14ac:dyDescent="0.25">
      <c r="A12" s="15" t="s">
        <v>116</v>
      </c>
      <c r="B12">
        <v>1715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1"/>
  <sheetViews>
    <sheetView topLeftCell="A79" workbookViewId="0">
      <selection activeCell="A92" sqref="A92"/>
    </sheetView>
  </sheetViews>
  <sheetFormatPr baseColWidth="10" defaultColWidth="11.42578125" defaultRowHeight="15" x14ac:dyDescent="0.25"/>
  <cols>
    <col min="1" max="1" width="34" bestFit="1" customWidth="1"/>
  </cols>
  <sheetData>
    <row r="1" spans="1:1" x14ac:dyDescent="0.25">
      <c r="A1" t="s">
        <v>19</v>
      </c>
    </row>
    <row r="2" spans="1:1" x14ac:dyDescent="0.25">
      <c r="A2" t="s">
        <v>15</v>
      </c>
    </row>
    <row r="3" spans="1:1" x14ac:dyDescent="0.25">
      <c r="A3" t="s">
        <v>35</v>
      </c>
    </row>
    <row r="4" spans="1:1" x14ac:dyDescent="0.25">
      <c r="A4" t="s">
        <v>25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22</v>
      </c>
    </row>
    <row r="8" spans="1:1" x14ac:dyDescent="0.25">
      <c r="A8" t="s">
        <v>14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3</v>
      </c>
    </row>
    <row r="12" spans="1:1" x14ac:dyDescent="0.25">
      <c r="A12" t="s">
        <v>40</v>
      </c>
    </row>
    <row r="13" spans="1:1" x14ac:dyDescent="0.25">
      <c r="A13" t="s">
        <v>26</v>
      </c>
    </row>
    <row r="14" spans="1:1" x14ac:dyDescent="0.25">
      <c r="A14" t="s">
        <v>1</v>
      </c>
    </row>
    <row r="15" spans="1:1" x14ac:dyDescent="0.25">
      <c r="A15" t="s">
        <v>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12</v>
      </c>
    </row>
    <row r="19" spans="1:1" x14ac:dyDescent="0.25">
      <c r="A19" t="s">
        <v>20</v>
      </c>
    </row>
    <row r="20" spans="1:1" x14ac:dyDescent="0.25">
      <c r="A20" t="s">
        <v>43</v>
      </c>
    </row>
    <row r="21" spans="1:1" x14ac:dyDescent="0.25">
      <c r="A21" t="s">
        <v>17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10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1" x14ac:dyDescent="0.25">
      <c r="A30" t="s">
        <v>51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4</v>
      </c>
    </row>
    <row r="37" spans="1:1" x14ac:dyDescent="0.25">
      <c r="A37" t="s">
        <v>18</v>
      </c>
    </row>
    <row r="38" spans="1:1" x14ac:dyDescent="0.25">
      <c r="A38" t="s">
        <v>57</v>
      </c>
    </row>
    <row r="39" spans="1:1" x14ac:dyDescent="0.25">
      <c r="A39" t="s">
        <v>23</v>
      </c>
    </row>
    <row r="40" spans="1:1" x14ac:dyDescent="0.25">
      <c r="A40" t="s">
        <v>58</v>
      </c>
    </row>
    <row r="41" spans="1:1" x14ac:dyDescent="0.25">
      <c r="A41" t="s">
        <v>59</v>
      </c>
    </row>
    <row r="42" spans="1:1" x14ac:dyDescent="0.25">
      <c r="A42" t="s">
        <v>60</v>
      </c>
    </row>
    <row r="43" spans="1:1" x14ac:dyDescent="0.25">
      <c r="A43" t="s">
        <v>61</v>
      </c>
    </row>
    <row r="44" spans="1:1" x14ac:dyDescent="0.25">
      <c r="A44" t="s">
        <v>62</v>
      </c>
    </row>
    <row r="45" spans="1:1" x14ac:dyDescent="0.25">
      <c r="A45" t="s">
        <v>63</v>
      </c>
    </row>
    <row r="46" spans="1:1" x14ac:dyDescent="0.25">
      <c r="A46" t="s">
        <v>64</v>
      </c>
    </row>
    <row r="47" spans="1:1" x14ac:dyDescent="0.25">
      <c r="A47" t="s">
        <v>65</v>
      </c>
    </row>
    <row r="48" spans="1:1" x14ac:dyDescent="0.25">
      <c r="A48" t="s">
        <v>2</v>
      </c>
    </row>
    <row r="49" spans="1:1" x14ac:dyDescent="0.25">
      <c r="A49" t="s">
        <v>6</v>
      </c>
    </row>
    <row r="50" spans="1:1" x14ac:dyDescent="0.25">
      <c r="A50" t="s">
        <v>66</v>
      </c>
    </row>
    <row r="51" spans="1:1" x14ac:dyDescent="0.25">
      <c r="A51" t="s">
        <v>67</v>
      </c>
    </row>
    <row r="52" spans="1:1" x14ac:dyDescent="0.25">
      <c r="A52" t="s">
        <v>68</v>
      </c>
    </row>
    <row r="53" spans="1:1" x14ac:dyDescent="0.25">
      <c r="A53" t="s">
        <v>13</v>
      </c>
    </row>
    <row r="54" spans="1:1" x14ac:dyDescent="0.25">
      <c r="A54" t="s">
        <v>5</v>
      </c>
    </row>
    <row r="55" spans="1:1" x14ac:dyDescent="0.25">
      <c r="A55" t="s">
        <v>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24</v>
      </c>
    </row>
    <row r="60" spans="1:1" x14ac:dyDescent="0.25">
      <c r="A60" t="s">
        <v>72</v>
      </c>
    </row>
    <row r="61" spans="1:1" x14ac:dyDescent="0.25">
      <c r="A61" t="s">
        <v>73</v>
      </c>
    </row>
    <row r="62" spans="1:1" x14ac:dyDescent="0.25">
      <c r="A62" t="s">
        <v>16</v>
      </c>
    </row>
    <row r="63" spans="1:1" x14ac:dyDescent="0.25">
      <c r="A63" t="s">
        <v>91</v>
      </c>
    </row>
    <row r="64" spans="1:1" x14ac:dyDescent="0.25">
      <c r="A64" t="s">
        <v>92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11</v>
      </c>
    </row>
    <row r="69" spans="1:1" x14ac:dyDescent="0.25">
      <c r="A69" t="s">
        <v>21</v>
      </c>
    </row>
    <row r="70" spans="1:1" x14ac:dyDescent="0.25">
      <c r="A70" t="s">
        <v>77</v>
      </c>
    </row>
    <row r="71" spans="1:1" x14ac:dyDescent="0.25">
      <c r="A71" t="s">
        <v>74</v>
      </c>
    </row>
    <row r="72" spans="1:1" x14ac:dyDescent="0.25">
      <c r="A72" t="s">
        <v>78</v>
      </c>
    </row>
    <row r="73" spans="1:1" x14ac:dyDescent="0.25">
      <c r="A73" t="s">
        <v>9</v>
      </c>
    </row>
    <row r="74" spans="1:1" x14ac:dyDescent="0.25">
      <c r="A74" t="s">
        <v>79</v>
      </c>
    </row>
    <row r="75" spans="1:1" x14ac:dyDescent="0.25">
      <c r="A75" t="s">
        <v>80</v>
      </c>
    </row>
    <row r="76" spans="1:1" x14ac:dyDescent="0.25">
      <c r="A76" t="s">
        <v>81</v>
      </c>
    </row>
    <row r="77" spans="1:1" x14ac:dyDescent="0.25">
      <c r="A77" t="s">
        <v>82</v>
      </c>
    </row>
    <row r="78" spans="1:1" x14ac:dyDescent="0.25">
      <c r="A78" t="s">
        <v>83</v>
      </c>
    </row>
    <row r="79" spans="1:1" x14ac:dyDescent="0.25">
      <c r="A79" t="s">
        <v>84</v>
      </c>
    </row>
    <row r="80" spans="1:1" x14ac:dyDescent="0.25">
      <c r="A80" t="s">
        <v>7</v>
      </c>
    </row>
    <row r="81" spans="1:1" x14ac:dyDescent="0.25">
      <c r="A81" t="s">
        <v>85</v>
      </c>
    </row>
    <row r="82" spans="1:1" x14ac:dyDescent="0.25">
      <c r="A82" t="s">
        <v>86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98</v>
      </c>
    </row>
    <row r="88" spans="1:1" x14ac:dyDescent="0.25">
      <c r="A88" s="12" t="s">
        <v>99</v>
      </c>
    </row>
    <row r="89" spans="1:1" x14ac:dyDescent="0.25">
      <c r="A89" t="s">
        <v>139</v>
      </c>
    </row>
    <row r="90" spans="1:1" x14ac:dyDescent="0.25">
      <c r="A90" t="s">
        <v>140</v>
      </c>
    </row>
    <row r="91" spans="1:1" x14ac:dyDescent="0.25">
      <c r="A91" t="s">
        <v>143</v>
      </c>
    </row>
  </sheetData>
  <dataConsolidate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E6" sqref="E6"/>
    </sheetView>
  </sheetViews>
  <sheetFormatPr baseColWidth="10" defaultColWidth="11.42578125" defaultRowHeight="15" x14ac:dyDescent="0.25"/>
  <cols>
    <col min="1" max="1" width="14.42578125" bestFit="1" customWidth="1"/>
  </cols>
  <sheetData>
    <row r="1" spans="1:1" x14ac:dyDescent="0.25">
      <c r="A1" t="s">
        <v>32</v>
      </c>
    </row>
    <row r="2" spans="1:1" x14ac:dyDescent="0.25">
      <c r="A2" t="s">
        <v>27</v>
      </c>
    </row>
    <row r="3" spans="1:1" x14ac:dyDescent="0.25">
      <c r="A3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workbookViewId="0"/>
  </sheetViews>
  <sheetFormatPr baseColWidth="10" defaultColWidth="11.42578125" defaultRowHeight="15" x14ac:dyDescent="0.25"/>
  <cols>
    <col min="1" max="1" width="21.5703125" bestFit="1" customWidth="1"/>
  </cols>
  <sheetData>
    <row r="1" spans="1:6" x14ac:dyDescent="0.25">
      <c r="A1" t="s">
        <v>28</v>
      </c>
      <c r="C1" t="s">
        <v>33</v>
      </c>
      <c r="E1" s="2">
        <v>0</v>
      </c>
      <c r="F1">
        <v>1</v>
      </c>
    </row>
    <row r="2" spans="1:6" x14ac:dyDescent="0.25">
      <c r="A2" t="s">
        <v>88</v>
      </c>
      <c r="C2" t="s">
        <v>34</v>
      </c>
      <c r="E2" s="2">
        <v>4.1666666666666699E-2</v>
      </c>
      <c r="F2">
        <v>2</v>
      </c>
    </row>
    <row r="3" spans="1:6" x14ac:dyDescent="0.25">
      <c r="A3" t="s">
        <v>89</v>
      </c>
      <c r="E3" s="2">
        <v>8.3333333333333301E-2</v>
      </c>
      <c r="F3">
        <v>3</v>
      </c>
    </row>
    <row r="4" spans="1:6" x14ac:dyDescent="0.25">
      <c r="A4" t="s">
        <v>90</v>
      </c>
      <c r="E4" s="2">
        <v>0.125</v>
      </c>
      <c r="F4">
        <v>4</v>
      </c>
    </row>
    <row r="5" spans="1:6" x14ac:dyDescent="0.25">
      <c r="E5" s="2">
        <v>0.16666666666666699</v>
      </c>
      <c r="F5">
        <v>5</v>
      </c>
    </row>
    <row r="6" spans="1:6" x14ac:dyDescent="0.25">
      <c r="E6" s="2">
        <v>0.20833333333333301</v>
      </c>
      <c r="F6">
        <v>6</v>
      </c>
    </row>
    <row r="7" spans="1:6" x14ac:dyDescent="0.25">
      <c r="E7" s="2">
        <v>0.25</v>
      </c>
      <c r="F7">
        <v>7</v>
      </c>
    </row>
    <row r="8" spans="1:6" x14ac:dyDescent="0.25">
      <c r="E8" s="2">
        <v>0.29166666666666702</v>
      </c>
      <c r="F8">
        <v>8</v>
      </c>
    </row>
    <row r="9" spans="1:6" x14ac:dyDescent="0.25">
      <c r="E9" s="2">
        <v>0.33333333333333298</v>
      </c>
      <c r="F9">
        <v>9</v>
      </c>
    </row>
    <row r="10" spans="1:6" x14ac:dyDescent="0.25">
      <c r="E10" s="2">
        <v>0.375</v>
      </c>
      <c r="F10">
        <v>10</v>
      </c>
    </row>
    <row r="11" spans="1:6" x14ac:dyDescent="0.25">
      <c r="E11" s="2">
        <v>0.41666666666666702</v>
      </c>
      <c r="F11">
        <v>11</v>
      </c>
    </row>
    <row r="12" spans="1:6" x14ac:dyDescent="0.25">
      <c r="E12" s="2">
        <v>0.45833333333333298</v>
      </c>
      <c r="F12">
        <v>12</v>
      </c>
    </row>
    <row r="13" spans="1:6" x14ac:dyDescent="0.25">
      <c r="E13" s="2">
        <v>0.5</v>
      </c>
      <c r="F13">
        <v>13</v>
      </c>
    </row>
    <row r="14" spans="1:6" x14ac:dyDescent="0.25">
      <c r="E14" s="2">
        <v>0.54166666666666696</v>
      </c>
      <c r="F14">
        <v>14</v>
      </c>
    </row>
    <row r="15" spans="1:6" x14ac:dyDescent="0.25">
      <c r="E15" s="2">
        <v>0.58333333333333304</v>
      </c>
      <c r="F15">
        <v>15</v>
      </c>
    </row>
    <row r="16" spans="1:6" x14ac:dyDescent="0.25">
      <c r="E16" s="2">
        <v>0.625</v>
      </c>
      <c r="F16">
        <v>16</v>
      </c>
    </row>
    <row r="17" spans="5:6" x14ac:dyDescent="0.25">
      <c r="E17" s="2">
        <v>0.66666666666666696</v>
      </c>
      <c r="F17">
        <v>17</v>
      </c>
    </row>
    <row r="18" spans="5:6" x14ac:dyDescent="0.25">
      <c r="E18" s="2">
        <v>0.70833333333333304</v>
      </c>
      <c r="F18">
        <v>18</v>
      </c>
    </row>
    <row r="19" spans="5:6" x14ac:dyDescent="0.25">
      <c r="E19" s="2">
        <v>0.75</v>
      </c>
      <c r="F19">
        <v>19</v>
      </c>
    </row>
    <row r="20" spans="5:6" x14ac:dyDescent="0.25">
      <c r="E20" s="2">
        <v>0.79166666666666696</v>
      </c>
      <c r="F20">
        <v>20</v>
      </c>
    </row>
    <row r="21" spans="5:6" x14ac:dyDescent="0.25">
      <c r="E21" s="2">
        <v>0.83333333333333304</v>
      </c>
      <c r="F21">
        <v>21</v>
      </c>
    </row>
    <row r="22" spans="5:6" x14ac:dyDescent="0.25">
      <c r="E22" s="2">
        <v>0.875</v>
      </c>
      <c r="F22">
        <v>22</v>
      </c>
    </row>
    <row r="23" spans="5:6" x14ac:dyDescent="0.25">
      <c r="E23" s="2">
        <v>0.91666666666666696</v>
      </c>
      <c r="F23">
        <v>23</v>
      </c>
    </row>
    <row r="24" spans="5:6" x14ac:dyDescent="0.25">
      <c r="E24" s="2">
        <v>0.95833333333333304</v>
      </c>
      <c r="F24">
        <v>24</v>
      </c>
    </row>
    <row r="25" spans="5:6" x14ac:dyDescent="0.25">
      <c r="F25">
        <v>25</v>
      </c>
    </row>
    <row r="26" spans="5:6" x14ac:dyDescent="0.25">
      <c r="F26">
        <v>26</v>
      </c>
    </row>
    <row r="27" spans="5:6" x14ac:dyDescent="0.25">
      <c r="F27">
        <v>27</v>
      </c>
    </row>
    <row r="28" spans="5:6" x14ac:dyDescent="0.25">
      <c r="F28">
        <v>28</v>
      </c>
    </row>
    <row r="29" spans="5:6" x14ac:dyDescent="0.25">
      <c r="F29">
        <v>29</v>
      </c>
    </row>
    <row r="30" spans="5:6" x14ac:dyDescent="0.25">
      <c r="F30">
        <v>30</v>
      </c>
    </row>
    <row r="31" spans="5:6" x14ac:dyDescent="0.25">
      <c r="F31">
        <v>31</v>
      </c>
    </row>
    <row r="32" spans="5:6" x14ac:dyDescent="0.25">
      <c r="F32">
        <v>32</v>
      </c>
    </row>
    <row r="33" spans="6:6" x14ac:dyDescent="0.25">
      <c r="F33">
        <v>33</v>
      </c>
    </row>
    <row r="34" spans="6:6" x14ac:dyDescent="0.25">
      <c r="F34">
        <v>34</v>
      </c>
    </row>
    <row r="35" spans="6:6" x14ac:dyDescent="0.25">
      <c r="F35">
        <v>35</v>
      </c>
    </row>
    <row r="36" spans="6:6" x14ac:dyDescent="0.25">
      <c r="F36">
        <v>36</v>
      </c>
    </row>
    <row r="37" spans="6:6" x14ac:dyDescent="0.25">
      <c r="F37">
        <v>37</v>
      </c>
    </row>
    <row r="38" spans="6:6" x14ac:dyDescent="0.25">
      <c r="F38">
        <v>38</v>
      </c>
    </row>
    <row r="39" spans="6:6" x14ac:dyDescent="0.25">
      <c r="F39">
        <v>39</v>
      </c>
    </row>
    <row r="40" spans="6:6" x14ac:dyDescent="0.25">
      <c r="F40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47B6-A390-4AA6-A7A8-EDF88B2AFF76}">
  <dimension ref="A1:E4"/>
  <sheetViews>
    <sheetView workbookViewId="0">
      <selection activeCell="F22" sqref="F22"/>
    </sheetView>
  </sheetViews>
  <sheetFormatPr baseColWidth="10" defaultRowHeight="15" x14ac:dyDescent="0.25"/>
  <cols>
    <col min="1" max="1" width="13.42578125" customWidth="1"/>
    <col min="2" max="2" width="17.140625" customWidth="1"/>
    <col min="3" max="4" width="14.5703125" bestFit="1" customWidth="1"/>
  </cols>
  <sheetData>
    <row r="1" spans="1:5" x14ac:dyDescent="0.25">
      <c r="A1" t="s">
        <v>105</v>
      </c>
      <c r="B1" t="s">
        <v>119</v>
      </c>
      <c r="C1" t="s">
        <v>118</v>
      </c>
      <c r="D1" t="s">
        <v>106</v>
      </c>
      <c r="E1" t="s">
        <v>120</v>
      </c>
    </row>
    <row r="2" spans="1:5" x14ac:dyDescent="0.25">
      <c r="A2" t="s">
        <v>121</v>
      </c>
      <c r="B2" t="s">
        <v>122</v>
      </c>
      <c r="C2">
        <v>2</v>
      </c>
      <c r="D2" t="s">
        <v>123</v>
      </c>
      <c r="E2" t="s">
        <v>124</v>
      </c>
    </row>
    <row r="3" spans="1:5" x14ac:dyDescent="0.25">
      <c r="A3" t="s">
        <v>125</v>
      </c>
      <c r="B3" t="s">
        <v>127</v>
      </c>
      <c r="C3">
        <v>10</v>
      </c>
      <c r="D3" t="s">
        <v>128</v>
      </c>
      <c r="E3" t="s">
        <v>124</v>
      </c>
    </row>
    <row r="4" spans="1:5" x14ac:dyDescent="0.25">
      <c r="A4" t="s">
        <v>126</v>
      </c>
      <c r="B4" s="57" t="s">
        <v>129</v>
      </c>
      <c r="C4" s="57"/>
      <c r="D4" t="s">
        <v>128</v>
      </c>
      <c r="E4" t="s">
        <v>130</v>
      </c>
    </row>
  </sheetData>
  <mergeCells count="1">
    <mergeCell ref="B4:C4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Planning</vt:lpstr>
      <vt:lpstr>Feuil1</vt:lpstr>
      <vt:lpstr>Feuil2</vt:lpstr>
      <vt:lpstr>Customers</vt:lpstr>
      <vt:lpstr>Statut</vt:lpstr>
      <vt:lpstr>Destination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BOUDAYA</dc:creator>
  <cp:lastModifiedBy>Mehrzia JENDOUBI</cp:lastModifiedBy>
  <dcterms:created xsi:type="dcterms:W3CDTF">2020-01-22T09:01:09Z</dcterms:created>
  <dcterms:modified xsi:type="dcterms:W3CDTF">2026-01-23T13:49:14Z</dcterms:modified>
</cp:coreProperties>
</file>